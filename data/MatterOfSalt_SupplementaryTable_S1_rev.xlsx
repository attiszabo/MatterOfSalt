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https://d.docs.live.net/eb99df56f4ddf9ce/Publikációk/_submitted/2024-MatterOfSalt/Submission/2024-09-LimnolOceonogrLett/revision/"/>
    </mc:Choice>
  </mc:AlternateContent>
  <xr:revisionPtr revIDLastSave="262" documentId="8_{0C2007F2-D1F0-42DD-BC33-085EEAE4B8E7}" xr6:coauthVersionLast="47" xr6:coauthVersionMax="47" xr10:uidLastSave="{8AE3AEAE-FBBD-43D4-B0A8-BD3983E3EDB5}"/>
  <bookViews>
    <workbookView xWindow="-110" yWindow="-110" windowWidth="19420" windowHeight="11500" xr2:uid="{00000000-000D-0000-FFFF-FFFF00000000}"/>
  </bookViews>
  <sheets>
    <sheet name="SupplementaryTable1" sheetId="1" r:id="rId1"/>
    <sheet name="References" sheetId="2" r:id="rId2"/>
  </sheets>
  <definedNames>
    <definedName name="_xlnm._FilterDatabase" localSheetId="0" hidden="1">SupplementaryTable1!$AR$4:$AR$387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213" i="1" l="1"/>
  <c r="W296" i="1"/>
  <c r="W295" i="1"/>
  <c r="W294" i="1"/>
  <c r="W293" i="1"/>
  <c r="W292" i="1"/>
  <c r="W291" i="1"/>
  <c r="W290" i="1"/>
  <c r="W289" i="1"/>
  <c r="W288" i="1"/>
  <c r="W287" i="1"/>
  <c r="W286" i="1"/>
  <c r="W285" i="1"/>
  <c r="W284" i="1"/>
  <c r="W283" i="1"/>
  <c r="W282" i="1"/>
  <c r="W281" i="1"/>
  <c r="W280" i="1"/>
  <c r="W279" i="1"/>
  <c r="W278" i="1"/>
  <c r="W277" i="1"/>
  <c r="W276" i="1"/>
  <c r="W275" i="1"/>
  <c r="W274" i="1"/>
  <c r="W273" i="1"/>
  <c r="W272" i="1"/>
  <c r="W271" i="1"/>
  <c r="W270" i="1"/>
  <c r="W269" i="1"/>
  <c r="W268" i="1"/>
  <c r="W267" i="1"/>
  <c r="W266" i="1"/>
  <c r="AJ226" i="1"/>
  <c r="W226" i="1"/>
  <c r="AJ225" i="1"/>
  <c r="AJ224" i="1"/>
  <c r="AJ223" i="1"/>
  <c r="W223" i="1"/>
  <c r="AJ222" i="1"/>
  <c r="W222" i="1"/>
  <c r="AJ221" i="1"/>
  <c r="W221" i="1"/>
  <c r="AJ220" i="1"/>
  <c r="W220" i="1"/>
  <c r="AJ219" i="1"/>
  <c r="W219" i="1"/>
  <c r="AJ218" i="1"/>
  <c r="W218" i="1"/>
  <c r="AJ217" i="1"/>
  <c r="W217" i="1"/>
  <c r="AJ216" i="1"/>
  <c r="W216" i="1"/>
  <c r="AJ215" i="1"/>
  <c r="W215" i="1"/>
  <c r="AJ214" i="1"/>
  <c r="W214" i="1"/>
  <c r="W213" i="1"/>
  <c r="AJ212" i="1"/>
  <c r="W212" i="1"/>
  <c r="AJ211" i="1"/>
  <c r="AJ210" i="1"/>
  <c r="AJ209" i="1"/>
  <c r="W209" i="1"/>
  <c r="AJ208" i="1"/>
  <c r="AJ207" i="1"/>
  <c r="AJ206" i="1"/>
  <c r="W206" i="1"/>
  <c r="AJ205" i="1"/>
  <c r="W205" i="1"/>
  <c r="W238" i="1"/>
  <c r="W5" i="1"/>
  <c r="W330" i="1"/>
  <c r="W315" i="1" l="1"/>
  <c r="W332" i="1" l="1"/>
  <c r="W331" i="1"/>
  <c r="W329" i="1"/>
  <c r="W65" i="1"/>
  <c r="W61" i="1"/>
  <c r="W59" i="1"/>
  <c r="W62" i="1"/>
  <c r="W63" i="1"/>
  <c r="W369" i="1" l="1"/>
  <c r="W342" i="1"/>
  <c r="W368" i="1"/>
  <c r="W341" i="1"/>
  <c r="W367" i="1"/>
  <c r="W340" i="1"/>
  <c r="W339" i="1"/>
  <c r="W187" i="1" l="1"/>
  <c r="W100" i="1"/>
  <c r="W113" i="1"/>
  <c r="W180" i="1"/>
  <c r="W92" i="1"/>
  <c r="W358" i="1"/>
  <c r="W128" i="1" l="1"/>
  <c r="W133" i="1"/>
  <c r="W138" i="1"/>
  <c r="W143" i="1"/>
  <c r="W147" i="1"/>
  <c r="W151" i="1"/>
  <c r="W156" i="1"/>
  <c r="W160" i="1"/>
  <c r="W164" i="1"/>
  <c r="W168" i="1"/>
  <c r="W172" i="1"/>
  <c r="W176" i="1"/>
  <c r="W123" i="1"/>
  <c r="W118" i="1"/>
  <c r="W127" i="1"/>
  <c r="W132" i="1"/>
  <c r="W137" i="1"/>
  <c r="W142" i="1"/>
  <c r="W146" i="1"/>
  <c r="W150" i="1"/>
  <c r="W155" i="1"/>
  <c r="W159" i="1"/>
  <c r="W163" i="1"/>
  <c r="W167" i="1"/>
  <c r="W171" i="1"/>
  <c r="W175" i="1"/>
  <c r="W122" i="1"/>
  <c r="W117" i="1"/>
  <c r="W22" i="1" l="1"/>
  <c r="W28" i="1"/>
  <c r="W30" i="1"/>
  <c r="W34" i="1"/>
  <c r="W37" i="1"/>
  <c r="W39" i="1"/>
  <c r="W41" i="1"/>
  <c r="W43" i="1"/>
  <c r="W46" i="1"/>
  <c r="W48" i="1"/>
  <c r="W19" i="1"/>
  <c r="W17" i="1"/>
  <c r="W15" i="1"/>
  <c r="W57" i="1" l="1"/>
  <c r="W64" i="1"/>
  <c r="W66" i="1"/>
  <c r="W53" i="1"/>
  <c r="W54" i="1"/>
  <c r="W58" i="1"/>
  <c r="W55" i="1"/>
  <c r="W60" i="1"/>
  <c r="W56" i="1"/>
  <c r="W297" i="1"/>
  <c r="W298" i="1"/>
  <c r="W299" i="1"/>
  <c r="W300" i="1"/>
  <c r="W301" i="1"/>
  <c r="W302" i="1"/>
  <c r="W303" i="1"/>
  <c r="W304" i="1"/>
  <c r="W305" i="1"/>
  <c r="W306" i="1"/>
  <c r="W307" i="1"/>
  <c r="W308" i="1"/>
  <c r="W309" i="1"/>
  <c r="W310" i="1"/>
  <c r="W311" i="1"/>
  <c r="W312" i="1"/>
  <c r="W313" i="1"/>
  <c r="W314" i="1"/>
  <c r="W316" i="1"/>
  <c r="W317" i="1"/>
  <c r="W318" i="1"/>
  <c r="W319" i="1"/>
  <c r="W320" i="1"/>
  <c r="W321" i="1"/>
  <c r="W322" i="1"/>
  <c r="W323" i="1"/>
  <c r="W227" i="1"/>
  <c r="W258" i="1"/>
  <c r="W259" i="1"/>
  <c r="W260" i="1"/>
  <c r="W261" i="1"/>
  <c r="W262" i="1"/>
  <c r="W263" i="1"/>
  <c r="W264" i="1"/>
  <c r="W265" i="1"/>
  <c r="W380" i="1"/>
  <c r="W333" i="1"/>
  <c r="W334" i="1"/>
  <c r="W335" i="1"/>
  <c r="W336" i="1"/>
  <c r="W337" i="1"/>
  <c r="W338" i="1"/>
  <c r="W348" i="1"/>
  <c r="W349" i="1"/>
  <c r="W350" i="1"/>
  <c r="W352" i="1"/>
  <c r="W353" i="1"/>
  <c r="W354" i="1"/>
  <c r="W355" i="1"/>
  <c r="W356" i="1"/>
  <c r="W357" i="1"/>
  <c r="W359" i="1"/>
  <c r="W360" i="1"/>
  <c r="W361" i="1"/>
  <c r="W362" i="1"/>
  <c r="W363" i="1"/>
  <c r="W364" i="1"/>
  <c r="W365" i="1"/>
  <c r="W14" i="1"/>
  <c r="W16" i="1"/>
  <c r="W44" i="1"/>
  <c r="W18" i="1"/>
  <c r="W20" i="1"/>
  <c r="W23" i="1"/>
  <c r="W29" i="1"/>
  <c r="W31" i="1"/>
  <c r="W32" i="1"/>
  <c r="W33" i="1"/>
  <c r="W35" i="1"/>
  <c r="W36" i="1"/>
  <c r="W38" i="1"/>
  <c r="W40" i="1"/>
  <c r="W42" i="1"/>
  <c r="W45" i="1"/>
  <c r="W47" i="1"/>
  <c r="W49" i="1"/>
  <c r="W50" i="1"/>
  <c r="W24" i="1"/>
  <c r="W115" i="1"/>
  <c r="W120" i="1"/>
  <c r="W125" i="1"/>
  <c r="W130" i="1"/>
  <c r="W135" i="1"/>
  <c r="W140" i="1"/>
  <c r="W145" i="1"/>
  <c r="W149" i="1"/>
  <c r="W153" i="1"/>
  <c r="W158" i="1"/>
  <c r="W162" i="1"/>
  <c r="W165" i="1"/>
  <c r="W170" i="1"/>
  <c r="W173" i="1"/>
  <c r="W116" i="1"/>
  <c r="W121" i="1"/>
  <c r="W126" i="1"/>
  <c r="W131" i="1"/>
  <c r="W136" i="1"/>
  <c r="W141" i="1"/>
  <c r="W154" i="1"/>
  <c r="W166" i="1"/>
  <c r="W174" i="1"/>
  <c r="W119" i="1"/>
  <c r="W124" i="1"/>
  <c r="W129" i="1"/>
  <c r="W134" i="1"/>
  <c r="W139" i="1"/>
  <c r="W144" i="1"/>
  <c r="W148" i="1"/>
  <c r="W152" i="1"/>
  <c r="W157" i="1"/>
  <c r="W161" i="1"/>
  <c r="W169" i="1"/>
  <c r="W177" i="1"/>
  <c r="W8" i="1"/>
  <c r="W11" i="1"/>
  <c r="W6" i="1"/>
  <c r="W9" i="1"/>
  <c r="W12" i="1"/>
  <c r="W7" i="1"/>
  <c r="W10" i="1"/>
  <c r="W13" i="1"/>
  <c r="W89" i="1"/>
  <c r="W90" i="1"/>
  <c r="W91" i="1"/>
  <c r="W93" i="1"/>
  <c r="W94" i="1"/>
  <c r="W95" i="1"/>
  <c r="W96" i="1"/>
  <c r="W97" i="1"/>
  <c r="W98" i="1"/>
  <c r="W99" i="1"/>
  <c r="W101" i="1"/>
  <c r="W102" i="1"/>
  <c r="W103" i="1"/>
  <c r="W104" i="1"/>
  <c r="W105" i="1"/>
  <c r="W106" i="1"/>
  <c r="W107" i="1"/>
  <c r="W108" i="1"/>
  <c r="W109" i="1"/>
  <c r="W110" i="1"/>
  <c r="W111" i="1"/>
  <c r="W112" i="1"/>
  <c r="W114" i="1"/>
  <c r="W178" i="1"/>
  <c r="W179" i="1"/>
  <c r="W181" i="1"/>
  <c r="W182" i="1"/>
  <c r="W183" i="1"/>
  <c r="W184" i="1"/>
  <c r="W185" i="1"/>
  <c r="W186" i="1"/>
  <c r="W188" i="1"/>
  <c r="W189" i="1"/>
  <c r="W190" i="1"/>
  <c r="W191" i="1"/>
  <c r="W192" i="1"/>
  <c r="W193" i="1"/>
  <c r="W194" i="1"/>
  <c r="W195" i="1"/>
  <c r="W196" i="1"/>
  <c r="W197" i="1"/>
  <c r="W198" i="1"/>
  <c r="W199" i="1"/>
  <c r="W200" i="1"/>
  <c r="W201" i="1"/>
  <c r="W202" i="1"/>
  <c r="W203" i="1"/>
  <c r="W204" i="1"/>
  <c r="W343" i="1"/>
  <c r="W370" i="1"/>
  <c r="W344" i="1"/>
  <c r="W371" i="1"/>
  <c r="W345" i="1"/>
  <c r="W372" i="1"/>
  <c r="W346" i="1"/>
  <c r="W373" i="1"/>
</calcChain>
</file>

<file path=xl/sharedStrings.xml><?xml version="1.0" encoding="utf-8"?>
<sst xmlns="http://schemas.openxmlformats.org/spreadsheetml/2006/main" count="7872" uniqueCount="1380">
  <si>
    <t>Collection date</t>
  </si>
  <si>
    <t>Location</t>
  </si>
  <si>
    <t>Coordinates</t>
  </si>
  <si>
    <t>SRA</t>
  </si>
  <si>
    <t>pH</t>
  </si>
  <si>
    <t>BU1</t>
  </si>
  <si>
    <t>Hungary:Szabadszallas</t>
  </si>
  <si>
    <t>46.8663333 N 19.1692167 E</t>
  </si>
  <si>
    <t>?</t>
  </si>
  <si>
    <t>SO1</t>
  </si>
  <si>
    <t>Hungary:Dunatetetlen</t>
  </si>
  <si>
    <t>46.7890167 N 19.14464999 E</t>
  </si>
  <si>
    <t>ZA1</t>
  </si>
  <si>
    <t>46.8365 N 19.17138330 E</t>
  </si>
  <si>
    <t>SO2</t>
  </si>
  <si>
    <t>SO3</t>
  </si>
  <si>
    <t>SO4</t>
  </si>
  <si>
    <t>SO5</t>
  </si>
  <si>
    <t>SO6</t>
  </si>
  <si>
    <t>SO9</t>
  </si>
  <si>
    <t>SO11</t>
  </si>
  <si>
    <t>SO12</t>
  </si>
  <si>
    <t>SO13</t>
  </si>
  <si>
    <t>SO14</t>
  </si>
  <si>
    <t>SO15</t>
  </si>
  <si>
    <t>SO16</t>
  </si>
  <si>
    <t>VBK</t>
  </si>
  <si>
    <t>Hungary:Soltszentimre</t>
  </si>
  <si>
    <t>46.7636333 N 19.1804667 E</t>
  </si>
  <si>
    <t>ZA2</t>
  </si>
  <si>
    <t>ZA3</t>
  </si>
  <si>
    <t>ZA4</t>
  </si>
  <si>
    <t>ZA5</t>
  </si>
  <si>
    <t>ZA6</t>
  </si>
  <si>
    <t>ZA7</t>
  </si>
  <si>
    <t>ZA8</t>
  </si>
  <si>
    <t>ZA9</t>
  </si>
  <si>
    <t>ZA10</t>
  </si>
  <si>
    <t>ZA11</t>
  </si>
  <si>
    <t>ZA12</t>
  </si>
  <si>
    <t>ZA13</t>
  </si>
  <si>
    <t>ZA14</t>
  </si>
  <si>
    <t>ZA15</t>
  </si>
  <si>
    <t>ZA16</t>
  </si>
  <si>
    <t>ZA17</t>
  </si>
  <si>
    <t>M05</t>
  </si>
  <si>
    <t>Lacul Ursu</t>
  </si>
  <si>
    <t>Romania:Lacul Ursu</t>
  </si>
  <si>
    <t>46.603731 N 25.086142 E</t>
  </si>
  <si>
    <t>U05</t>
  </si>
  <si>
    <t>Lacul 'Plus'</t>
  </si>
  <si>
    <t>Romania:Ocna Mureș</t>
  </si>
  <si>
    <t>46.384823 N 23.860119 E</t>
  </si>
  <si>
    <t>U15</t>
  </si>
  <si>
    <t>U28</t>
  </si>
  <si>
    <t>Hungary:Lake Ferto</t>
  </si>
  <si>
    <t>47.73459 N 16.71941 E</t>
  </si>
  <si>
    <t>47.68460 N 16.70272 E</t>
  </si>
  <si>
    <t>B01</t>
  </si>
  <si>
    <t>46.767833 N 19.150117 E</t>
  </si>
  <si>
    <t>B02</t>
  </si>
  <si>
    <t>B03</t>
  </si>
  <si>
    <t>B04</t>
  </si>
  <si>
    <t>B05</t>
  </si>
  <si>
    <t>B06</t>
  </si>
  <si>
    <t>B07</t>
  </si>
  <si>
    <t>B08</t>
  </si>
  <si>
    <t>B09</t>
  </si>
  <si>
    <t>B10</t>
  </si>
  <si>
    <t>B11</t>
  </si>
  <si>
    <t>B12</t>
  </si>
  <si>
    <t>B13</t>
  </si>
  <si>
    <t>B14</t>
  </si>
  <si>
    <t>K01</t>
  </si>
  <si>
    <t>Hungary:Fulopszallas</t>
  </si>
  <si>
    <t>46.798217 N 19.174000 E</t>
  </si>
  <si>
    <t>K02</t>
  </si>
  <si>
    <t>K03</t>
  </si>
  <si>
    <t>K04</t>
  </si>
  <si>
    <t>K05</t>
  </si>
  <si>
    <t>K06</t>
  </si>
  <si>
    <t>K09</t>
  </si>
  <si>
    <t>K12</t>
  </si>
  <si>
    <t>K14</t>
  </si>
  <si>
    <t>S01</t>
  </si>
  <si>
    <t>46.789017 N 19.144650 E</t>
  </si>
  <si>
    <t>S02</t>
  </si>
  <si>
    <t>S03</t>
  </si>
  <si>
    <t>S04</t>
  </si>
  <si>
    <t>S05</t>
  </si>
  <si>
    <t>S06</t>
  </si>
  <si>
    <t>S07</t>
  </si>
  <si>
    <t>S08</t>
  </si>
  <si>
    <t>S09</t>
  </si>
  <si>
    <t>S10</t>
  </si>
  <si>
    <t>S11</t>
  </si>
  <si>
    <t>S12</t>
  </si>
  <si>
    <t>S13</t>
  </si>
  <si>
    <t>S14</t>
  </si>
  <si>
    <t>V01</t>
  </si>
  <si>
    <t>V02</t>
  </si>
  <si>
    <t>V03</t>
  </si>
  <si>
    <t>V04</t>
  </si>
  <si>
    <t>V05</t>
  </si>
  <si>
    <t>V06</t>
  </si>
  <si>
    <t>V07</t>
  </si>
  <si>
    <t>V08</t>
  </si>
  <si>
    <t>V09</t>
  </si>
  <si>
    <t>V10</t>
  </si>
  <si>
    <t>V11</t>
  </si>
  <si>
    <t>V12</t>
  </si>
  <si>
    <t>V13</t>
  </si>
  <si>
    <t>V14</t>
  </si>
  <si>
    <t>Z01</t>
  </si>
  <si>
    <t>46.836500 N 19.171383 E</t>
  </si>
  <si>
    <t>Z02</t>
  </si>
  <si>
    <t>Z03</t>
  </si>
  <si>
    <t>Z04</t>
  </si>
  <si>
    <t>Z05</t>
  </si>
  <si>
    <t>Z06</t>
  </si>
  <si>
    <t>Z07</t>
  </si>
  <si>
    <t>Z08</t>
  </si>
  <si>
    <t>Z09</t>
  </si>
  <si>
    <t>Z10</t>
  </si>
  <si>
    <t>Z12</t>
  </si>
  <si>
    <t>Z14</t>
  </si>
  <si>
    <t>BV</t>
  </si>
  <si>
    <t>Lake Balaton</t>
  </si>
  <si>
    <t>Hungary:Lake Balaton</t>
  </si>
  <si>
    <t>46.73 N 17.29 E</t>
  </si>
  <si>
    <t>K0</t>
  </si>
  <si>
    <t>Lake Kolon</t>
  </si>
  <si>
    <t>Hungary:Izsak</t>
  </si>
  <si>
    <t>46.76055556 N 19.34027778 E</t>
  </si>
  <si>
    <t>A</t>
  </si>
  <si>
    <t>Hungary:Tiszaalpar</t>
  </si>
  <si>
    <t>46.8254970 N 20.003828 E</t>
  </si>
  <si>
    <t>B</t>
  </si>
  <si>
    <t>46.8250223 N 20.0019207 E</t>
  </si>
  <si>
    <t>B0</t>
  </si>
  <si>
    <t>C</t>
  </si>
  <si>
    <t>Hungary:Lakitelek</t>
  </si>
  <si>
    <t>46.838694 N 20.008271 E</t>
  </si>
  <si>
    <t>D</t>
  </si>
  <si>
    <t>46.839376 N 20.007884 E</t>
  </si>
  <si>
    <t>Ds</t>
  </si>
  <si>
    <t>Hungary:Kaposvar</t>
  </si>
  <si>
    <t>46.3981821 N 17.8193651 E</t>
  </si>
  <si>
    <t>E</t>
  </si>
  <si>
    <t>Hungary:Martely</t>
  </si>
  <si>
    <t>46.469000 N 20.225709 E</t>
  </si>
  <si>
    <t>F</t>
  </si>
  <si>
    <t>46.471944 N 20.223845 E</t>
  </si>
  <si>
    <t>FDN</t>
  </si>
  <si>
    <t>FDO</t>
  </si>
  <si>
    <t>Ff</t>
  </si>
  <si>
    <t>46.945098 N 18.010683 E</t>
  </si>
  <si>
    <t>K</t>
  </si>
  <si>
    <t>46.731294 N 17.268830 E</t>
  </si>
  <si>
    <t>KH</t>
  </si>
  <si>
    <t>Kn</t>
  </si>
  <si>
    <t>Hungary:Kovacsszenaja</t>
  </si>
  <si>
    <t>46.175485 N 18.114118 E</t>
  </si>
  <si>
    <t>LK</t>
  </si>
  <si>
    <t>Hungary:Lipot</t>
  </si>
  <si>
    <t>47.865348 N 17.464860 E</t>
  </si>
  <si>
    <t>LN</t>
  </si>
  <si>
    <t>47.864854 N 17.464530 E</t>
  </si>
  <si>
    <t>NH</t>
  </si>
  <si>
    <t>R</t>
  </si>
  <si>
    <t>Hungary:Homorud</t>
  </si>
  <si>
    <t>46.011237 N 18.7661610 E</t>
  </si>
  <si>
    <t>TLO</t>
  </si>
  <si>
    <t>TNB</t>
  </si>
  <si>
    <t>Hungary:Lake Tisza</t>
  </si>
  <si>
    <t>47.641913 N 20.662493 E</t>
  </si>
  <si>
    <t>TO</t>
  </si>
  <si>
    <t>47.643105 N 20.662063 E</t>
  </si>
  <si>
    <t>TS</t>
  </si>
  <si>
    <t>47.642014 N 20.665917 E</t>
  </si>
  <si>
    <t>Z</t>
  </si>
  <si>
    <t>46.705299 N 17.264026 E</t>
  </si>
  <si>
    <t>SS15</t>
  </si>
  <si>
    <t>Austria:Seewinkel</t>
  </si>
  <si>
    <t>47.791389 N 16.780556 E</t>
  </si>
  <si>
    <t>SS16</t>
  </si>
  <si>
    <t>SS17</t>
  </si>
  <si>
    <t>US15</t>
  </si>
  <si>
    <t>Unterer Stinkersee</t>
  </si>
  <si>
    <t>47.801667 N 16.783889 E</t>
  </si>
  <si>
    <t>US16</t>
  </si>
  <si>
    <t>US17</t>
  </si>
  <si>
    <t>ZL15</t>
  </si>
  <si>
    <t>Zicklacke</t>
  </si>
  <si>
    <t>47.768056 N 16.780833 E</t>
  </si>
  <si>
    <t>ZL16</t>
  </si>
  <si>
    <t>ZL17</t>
  </si>
  <si>
    <t>Sp17_01</t>
  </si>
  <si>
    <t>2017-04-03 - 06</t>
  </si>
  <si>
    <t>47.77513639 N 16.77011917 E</t>
  </si>
  <si>
    <t>Sp17_02</t>
  </si>
  <si>
    <t>47.78917083 N 16.88677778 E</t>
  </si>
  <si>
    <t>Sp17_04</t>
  </si>
  <si>
    <t>47.81771528 N 16.86491056 E</t>
  </si>
  <si>
    <t>Sp17_05</t>
  </si>
  <si>
    <t>Hungary:Fertozug</t>
  </si>
  <si>
    <t>47.681925 N 16.84113889 E</t>
  </si>
  <si>
    <t>Sp17_07</t>
  </si>
  <si>
    <t>47.78612111 N 16.84219833 E</t>
  </si>
  <si>
    <t>Sp17_09</t>
  </si>
  <si>
    <t>47.75602861 N 16.78047972 E</t>
  </si>
  <si>
    <t>Sp17_10</t>
  </si>
  <si>
    <t>47.79273556 N 16.87862583 E</t>
  </si>
  <si>
    <t>Sp17_11</t>
  </si>
  <si>
    <t>47.75747528 N 16.87876472 E</t>
  </si>
  <si>
    <t>Sp17_12</t>
  </si>
  <si>
    <t>47.75050167 N 16.856695 E</t>
  </si>
  <si>
    <t>Sp17_13</t>
  </si>
  <si>
    <t>47.80675889 N 16.78752194 E</t>
  </si>
  <si>
    <t>Sp17_14</t>
  </si>
  <si>
    <t>47.768036 N 16.844325 E</t>
  </si>
  <si>
    <t>Sp17_15</t>
  </si>
  <si>
    <t>47.67755 N 16.83405556 E</t>
  </si>
  <si>
    <t>Sp17_16</t>
  </si>
  <si>
    <t>47.82711944 N 16.80793222 E</t>
  </si>
  <si>
    <t>Sp17_17</t>
  </si>
  <si>
    <t>Oberer Stinkersee</t>
  </si>
  <si>
    <t>47.81376222 N 16.79251722 E</t>
  </si>
  <si>
    <t>Sp17_18</t>
  </si>
  <si>
    <t>Ochsenbrunnlacke</t>
  </si>
  <si>
    <t>47.81073583 N 16.84461722 E</t>
  </si>
  <si>
    <t>Sp17_19</t>
  </si>
  <si>
    <t>47.79044083 N 16.86618583 E</t>
  </si>
  <si>
    <t>Sp17_20</t>
  </si>
  <si>
    <t>47.77334361 N 16.88009389 E</t>
  </si>
  <si>
    <t>Sp17_21</t>
  </si>
  <si>
    <t>Runde Lacke</t>
  </si>
  <si>
    <t>47.78574472 N 16.79274361 E</t>
  </si>
  <si>
    <t>Sp17_22</t>
  </si>
  <si>
    <t>Sechsmahdlacke</t>
  </si>
  <si>
    <t>47.78378861 N 16.88411194 E</t>
  </si>
  <si>
    <t>Sp17_23</t>
  </si>
  <si>
    <t>Standlacke</t>
  </si>
  <si>
    <t>47.79890389 N 16.87170639 E</t>
  </si>
  <si>
    <t>Sp17_24</t>
  </si>
  <si>
    <t>47.79113278 N 16.77973694 E</t>
  </si>
  <si>
    <t>Sp17_27</t>
  </si>
  <si>
    <t>Westliche Fuschslochlacke</t>
  </si>
  <si>
    <t>47.79007667 N 16.85234944 E</t>
  </si>
  <si>
    <t>Sp17_28</t>
  </si>
  <si>
    <t>Westliche Wörthenlacke</t>
  </si>
  <si>
    <t>47.77092167 N 16.87077667 E</t>
  </si>
  <si>
    <t>Sp17_29</t>
  </si>
  <si>
    <t>47.76696444 N 16.78475194 E</t>
  </si>
  <si>
    <t>Sp17_31</t>
  </si>
  <si>
    <t>Sp17_Neu2</t>
  </si>
  <si>
    <t>Neufeldlacke</t>
  </si>
  <si>
    <t>47.76447667 N 16.84024833</t>
  </si>
  <si>
    <t>Sp18_01</t>
  </si>
  <si>
    <t>2018-04-02 - 04</t>
  </si>
  <si>
    <t>47.77513639 N 16.77011917</t>
  </si>
  <si>
    <t>Sp18_04</t>
  </si>
  <si>
    <t>Birnbaumlacke</t>
  </si>
  <si>
    <t>Sp18_05</t>
  </si>
  <si>
    <t>Sp18_07</t>
  </si>
  <si>
    <t>Grosse Neubruchlacke</t>
  </si>
  <si>
    <t>Sp18_08</t>
  </si>
  <si>
    <t>Kirchsee</t>
  </si>
  <si>
    <t>47.75867861 N 16.78548861 E</t>
  </si>
  <si>
    <t>Sp18_10</t>
  </si>
  <si>
    <t>Sp18_11</t>
  </si>
  <si>
    <t>Lange Lacke</t>
  </si>
  <si>
    <t>Sp18_12</t>
  </si>
  <si>
    <t>Martenhofenlacke</t>
  </si>
  <si>
    <t>Sp18_13</t>
  </si>
  <si>
    <t>Mittlerer Stinkersee</t>
  </si>
  <si>
    <t>Sp18_15</t>
  </si>
  <si>
    <t>Sp18_16</t>
  </si>
  <si>
    <t>Sp18_17</t>
  </si>
  <si>
    <t>Sp18_18</t>
  </si>
  <si>
    <t>Sp18_19</t>
  </si>
  <si>
    <t>Sp18_1_d</t>
  </si>
  <si>
    <t>Sp18_20</t>
  </si>
  <si>
    <t>Sp18_21</t>
  </si>
  <si>
    <t>Sp18_22</t>
  </si>
  <si>
    <t>Sp18_23</t>
  </si>
  <si>
    <t>Sp18_24</t>
  </si>
  <si>
    <t>Sp18_27</t>
  </si>
  <si>
    <t>Sp18_28</t>
  </si>
  <si>
    <t>Sp18_29</t>
  </si>
  <si>
    <t>Sp18_30</t>
  </si>
  <si>
    <t>Apetloner Meierhoflacke</t>
  </si>
  <si>
    <t>47.72157583 N 16.82404028 E</t>
  </si>
  <si>
    <t>Sp18_31</t>
  </si>
  <si>
    <t>Herrnsee</t>
  </si>
  <si>
    <t>47.744564 N 16.769988 E</t>
  </si>
  <si>
    <t>Sp18_9</t>
  </si>
  <si>
    <t>Krautingsee</t>
  </si>
  <si>
    <t>Sp18_Neu2</t>
  </si>
  <si>
    <t>01T</t>
  </si>
  <si>
    <t>46.985362 N 18.550139 E</t>
  </si>
  <si>
    <t>02T</t>
  </si>
  <si>
    <t>46.971521 N 18.554462 E</t>
  </si>
  <si>
    <t>03T</t>
  </si>
  <si>
    <t>Hungary:Pusztaszer</t>
  </si>
  <si>
    <t>46.547839 N 20.029932 E</t>
  </si>
  <si>
    <t>04T</t>
  </si>
  <si>
    <t>46.523881 N 20.040926 E</t>
  </si>
  <si>
    <t>05T</t>
  </si>
  <si>
    <t>Hungary:Baks</t>
  </si>
  <si>
    <t>46.570495 N 20.062962 E</t>
  </si>
  <si>
    <t>06T</t>
  </si>
  <si>
    <t>46.788859 N 19.146177 E</t>
  </si>
  <si>
    <t>07T</t>
  </si>
  <si>
    <t>46.763919 N 19.152522 E</t>
  </si>
  <si>
    <t>08T</t>
  </si>
  <si>
    <t>46.765875 N 19.153309 E</t>
  </si>
  <si>
    <t>09T</t>
  </si>
  <si>
    <t>46.794747 N 19.186312 E</t>
  </si>
  <si>
    <t>10T</t>
  </si>
  <si>
    <t>46.7994 N 19.177578 E</t>
  </si>
  <si>
    <t>11T</t>
  </si>
  <si>
    <t>46.862657 N 19.167097 E</t>
  </si>
  <si>
    <t>12T</t>
  </si>
  <si>
    <t>46.839562 N 19.176819 E</t>
  </si>
  <si>
    <t>13T</t>
  </si>
  <si>
    <t>46.828591 N 19.17471 E</t>
  </si>
  <si>
    <t>14T</t>
  </si>
  <si>
    <t>46.472287 N 20.626551 E</t>
  </si>
  <si>
    <t>15T</t>
  </si>
  <si>
    <t>46.471891 N 20.629927 E</t>
  </si>
  <si>
    <t>16T</t>
  </si>
  <si>
    <t>Hungary:Apaj</t>
  </si>
  <si>
    <t>47.156851 N 19.113268 E</t>
  </si>
  <si>
    <t>17T</t>
  </si>
  <si>
    <t>47.152225 N 19.104857 E</t>
  </si>
  <si>
    <t>18T</t>
  </si>
  <si>
    <t>47.142151 N 19.113607 E</t>
  </si>
  <si>
    <t>19T</t>
  </si>
  <si>
    <t>47.676847 N 16.832391 E</t>
  </si>
  <si>
    <t>20T</t>
  </si>
  <si>
    <t>47.680646 N 16.842439 E</t>
  </si>
  <si>
    <t>21T</t>
  </si>
  <si>
    <t>22T</t>
  </si>
  <si>
    <t>47.711684 N 16.704966 E</t>
  </si>
  <si>
    <t>23T</t>
  </si>
  <si>
    <t>47.734414 N 16.720417 E</t>
  </si>
  <si>
    <t>24T</t>
  </si>
  <si>
    <t>47.675823 N 16.730948 E</t>
  </si>
  <si>
    <t>25T</t>
  </si>
  <si>
    <t>47.639279 N 16.778645 E</t>
  </si>
  <si>
    <t>26T</t>
  </si>
  <si>
    <t>Hungary:Lake Szelid</t>
  </si>
  <si>
    <t>46.632289 N 19.060764 E</t>
  </si>
  <si>
    <t>27T</t>
  </si>
  <si>
    <t>46.621628 N 19.036824 E</t>
  </si>
  <si>
    <t>28T</t>
  </si>
  <si>
    <t>Hungary:Lake Velence</t>
  </si>
  <si>
    <t>47.207631 N 18.60649 E</t>
  </si>
  <si>
    <t>29T</t>
  </si>
  <si>
    <t>47.194294 N 18.567652 E</t>
  </si>
  <si>
    <t>30T</t>
  </si>
  <si>
    <t>47.18908 N 18.559821 E</t>
  </si>
  <si>
    <t>31T</t>
  </si>
  <si>
    <t>47.164809 N 18.547284 E</t>
  </si>
  <si>
    <t>Bac-12S</t>
  </si>
  <si>
    <t>Great Rift Valley</t>
  </si>
  <si>
    <t>Sonachi Crater Lake</t>
  </si>
  <si>
    <t>Bac-18E</t>
  </si>
  <si>
    <t>Lake Elmenteita</t>
  </si>
  <si>
    <t>Bac-6M</t>
  </si>
  <si>
    <t>Lake Magadi</t>
  </si>
  <si>
    <t>B1-W</t>
  </si>
  <si>
    <t>Lake Bogoria</t>
  </si>
  <si>
    <t>B2-W</t>
  </si>
  <si>
    <t>NB30</t>
  </si>
  <si>
    <t>Transbaikalia</t>
  </si>
  <si>
    <t>Lake Doroninskoe</t>
  </si>
  <si>
    <t>Russia:Lake Doroninskoe, Transbaikalia</t>
  </si>
  <si>
    <t>NB31</t>
  </si>
  <si>
    <t>NB32</t>
  </si>
  <si>
    <t>NB41</t>
  </si>
  <si>
    <t>NB42</t>
  </si>
  <si>
    <t>NB43</t>
  </si>
  <si>
    <t>DL-M Day 0</t>
  </si>
  <si>
    <t>Cariboo Plateau</t>
  </si>
  <si>
    <t>Deer Lake</t>
  </si>
  <si>
    <t>51.35416 N 121.24527 W</t>
  </si>
  <si>
    <t>DLM 2015</t>
  </si>
  <si>
    <t>DLM 2017</t>
  </si>
  <si>
    <t>GEL-M Day 0</t>
  </si>
  <si>
    <t>Goodenough Lake</t>
  </si>
  <si>
    <t>51.329722 N 121.641389 W</t>
  </si>
  <si>
    <t>GEM 2015</t>
  </si>
  <si>
    <t>GEM 2016</t>
  </si>
  <si>
    <t>GEM 2017</t>
  </si>
  <si>
    <t>LCL-M Day 0</t>
  </si>
  <si>
    <t>Last Chance Lake</t>
  </si>
  <si>
    <t>51.3275 N 121.63305 W</t>
  </si>
  <si>
    <t>LCM 2015</t>
  </si>
  <si>
    <t>LCM 2016</t>
  </si>
  <si>
    <t>LCM 2017</t>
  </si>
  <si>
    <t>PL-M Day 0</t>
  </si>
  <si>
    <t>Probe Lake</t>
  </si>
  <si>
    <t>51.45055 N 121.3875 W</t>
  </si>
  <si>
    <t>PLM 2015</t>
  </si>
  <si>
    <t>PLM 2016</t>
  </si>
  <si>
    <t>PLM 2017</t>
  </si>
  <si>
    <t>ML16S_10m</t>
  </si>
  <si>
    <t>Mono Lake</t>
  </si>
  <si>
    <t>37.96 N 119.02 W</t>
  </si>
  <si>
    <t>MLW_0517_00</t>
  </si>
  <si>
    <t>37.977 N 118.991 W</t>
  </si>
  <si>
    <t>MLW_0517_10</t>
  </si>
  <si>
    <t>MLW_0617_00</t>
  </si>
  <si>
    <t>MLW_1018_00</t>
  </si>
  <si>
    <t>MLW_1018_05</t>
  </si>
  <si>
    <t>MLW_1018_12</t>
  </si>
  <si>
    <t>North Kazakhstan</t>
  </si>
  <si>
    <t>Kazakhstan:Ulendy</t>
  </si>
  <si>
    <t>51.534005 N 63.690941 E</t>
  </si>
  <si>
    <t>51.410577 N 63.023247 E</t>
  </si>
  <si>
    <t>Zharsor</t>
  </si>
  <si>
    <t>Kazakhstan:Bestauskiy</t>
  </si>
  <si>
    <t>51.367788 N 62.807252 E</t>
  </si>
  <si>
    <t>51.547755 N 63.692891 E</t>
  </si>
  <si>
    <t>Kaindysor</t>
  </si>
  <si>
    <t>51.357808 N 63.023875 E</t>
  </si>
  <si>
    <t>Asubastysor</t>
  </si>
  <si>
    <t>51.218719 N 62.582525 E</t>
  </si>
  <si>
    <t>51.370077 N 63.029700 E</t>
  </si>
  <si>
    <t>51.535319 N 63.683444 E</t>
  </si>
  <si>
    <t>Big Aqsuat</t>
  </si>
  <si>
    <t>Kazakhstan:Naurzum</t>
  </si>
  <si>
    <t>51.461108 N 64.501608 E</t>
  </si>
  <si>
    <t>51.519640 N 64.460410 E</t>
  </si>
  <si>
    <t>Teniz</t>
  </si>
  <si>
    <t>Kazakhstan:Urkash</t>
  </si>
  <si>
    <t>51.321700 N 62.357161 E</t>
  </si>
  <si>
    <t>Little Aqsuat</t>
  </si>
  <si>
    <t>51.505272 N 64.493991 E</t>
  </si>
  <si>
    <t>Kaiyndysor</t>
  </si>
  <si>
    <t>51.210013 N 62.525958 E</t>
  </si>
  <si>
    <t>n.d.</t>
  </si>
  <si>
    <t>51.588500 N 64.445855 E</t>
  </si>
  <si>
    <t>KT01</t>
  </si>
  <si>
    <t>Lake Balkhash Drainage Basin</t>
  </si>
  <si>
    <t>Kazakhstan:Lake Balkhash</t>
  </si>
  <si>
    <t>46.596348 N 79.221823 E</t>
  </si>
  <si>
    <t>KT02</t>
  </si>
  <si>
    <t>46.533832 N 79.145109 E</t>
  </si>
  <si>
    <t>KT03</t>
  </si>
  <si>
    <t>46.530906 N 79.094986 E</t>
  </si>
  <si>
    <t>KT04</t>
  </si>
  <si>
    <t>46.301449 N 78.461765 E</t>
  </si>
  <si>
    <t>KT05</t>
  </si>
  <si>
    <t>46.335161 N 78.432911 E</t>
  </si>
  <si>
    <t>KT06</t>
  </si>
  <si>
    <t>46.383465 N 78.418964 E</t>
  </si>
  <si>
    <t>KT07</t>
  </si>
  <si>
    <t>46.38716 N 78.675855 E</t>
  </si>
  <si>
    <t>KT08</t>
  </si>
  <si>
    <t>46.370155 N 78.921802 E</t>
  </si>
  <si>
    <t>KT09</t>
  </si>
  <si>
    <t>Kazakhstan:Sarkand District</t>
  </si>
  <si>
    <t>46.131397 N 78.224211 E</t>
  </si>
  <si>
    <t>KT10</t>
  </si>
  <si>
    <t>Kazakhstan:Aksu District</t>
  </si>
  <si>
    <t>45.965475 N 78.325367 E</t>
  </si>
  <si>
    <t>KT11</t>
  </si>
  <si>
    <t>46.000596 N 78.293745 E</t>
  </si>
  <si>
    <t>KT12</t>
  </si>
  <si>
    <t>45.967705 N 78.327392 E</t>
  </si>
  <si>
    <t>KT13</t>
  </si>
  <si>
    <t>45.890096 N 78.461639 E</t>
  </si>
  <si>
    <t>KT14</t>
  </si>
  <si>
    <t>46.298573 N 78.215385 E</t>
  </si>
  <si>
    <t>KT15</t>
  </si>
  <si>
    <t>46.298894 N 78.474564 E</t>
  </si>
  <si>
    <t>KT16</t>
  </si>
  <si>
    <t>46.285278 N 78.43688 E</t>
  </si>
  <si>
    <t>KT17</t>
  </si>
  <si>
    <t>46.462005 N 79.053697 E</t>
  </si>
  <si>
    <t>KT18</t>
  </si>
  <si>
    <t>46.455212 N 79.042745 E</t>
  </si>
  <si>
    <t>KT19</t>
  </si>
  <si>
    <t>Kazakhstan:Karatal District</t>
  </si>
  <si>
    <t>45.666505 N 78.081244 E</t>
  </si>
  <si>
    <t>KT20</t>
  </si>
  <si>
    <t>45.743376 N 78.006456 E</t>
  </si>
  <si>
    <t>KT21</t>
  </si>
  <si>
    <t>Kazakhstan:Lake Alakol</t>
  </si>
  <si>
    <t>46.488666 N 80.860082 E</t>
  </si>
  <si>
    <t>KT22</t>
  </si>
  <si>
    <t>46.39485 N 81.382522 E</t>
  </si>
  <si>
    <t>KT23</t>
  </si>
  <si>
    <t>Lake Alakol</t>
  </si>
  <si>
    <t>46.468637 N 81.54499 E</t>
  </si>
  <si>
    <t>KT24</t>
  </si>
  <si>
    <t>46.450718 N 81.507218 E</t>
  </si>
  <si>
    <t>KT25</t>
  </si>
  <si>
    <t>46.43978 N 81.452084 E</t>
  </si>
  <si>
    <t>KT26</t>
  </si>
  <si>
    <t>46.429081 N 81.422508 E</t>
  </si>
  <si>
    <t>KT27</t>
  </si>
  <si>
    <t>45.996245 N 81.366174 E</t>
  </si>
  <si>
    <t>0S</t>
  </si>
  <si>
    <t>Lake Balkhash</t>
  </si>
  <si>
    <t>Warm stream</t>
  </si>
  <si>
    <t>02S</t>
  </si>
  <si>
    <t>Karabas</t>
  </si>
  <si>
    <t>04S</t>
  </si>
  <si>
    <t>Korzhun</t>
  </si>
  <si>
    <t>06S</t>
  </si>
  <si>
    <t>Kors</t>
  </si>
  <si>
    <t>08S</t>
  </si>
  <si>
    <t>Municipal beach</t>
  </si>
  <si>
    <t>09S</t>
  </si>
  <si>
    <t>Narine</t>
  </si>
  <si>
    <t>11S</t>
  </si>
  <si>
    <t>Saline lake</t>
  </si>
  <si>
    <t>SHV</t>
  </si>
  <si>
    <t>West Kazakhstan, Aktobe region</t>
  </si>
  <si>
    <t>Old Shalkar Lake</t>
  </si>
  <si>
    <t>Kazakhstan:Shalkar</t>
  </si>
  <si>
    <t>47.77216 N 59.56621 E</t>
  </si>
  <si>
    <t>KA1</t>
  </si>
  <si>
    <t>48.05287 N 59.57196 E</t>
  </si>
  <si>
    <t>KA2</t>
  </si>
  <si>
    <t>Lakalu</t>
  </si>
  <si>
    <t>47.52056 N 59.07887 E</t>
  </si>
  <si>
    <t>KA3</t>
  </si>
  <si>
    <t>47.51450 N 59.08419 E</t>
  </si>
  <si>
    <t>KA4</t>
  </si>
  <si>
    <t>Kopasor</t>
  </si>
  <si>
    <t>47.72670 N 59.14562 E</t>
  </si>
  <si>
    <t>103.9</t>
  </si>
  <si>
    <t>KA5</t>
  </si>
  <si>
    <t>Shalkar Lake</t>
  </si>
  <si>
    <t>47.78893 N 59.58138 E</t>
  </si>
  <si>
    <t>1.0</t>
  </si>
  <si>
    <t>KA6</t>
  </si>
  <si>
    <t>47.84792 N 59.61716 E</t>
  </si>
  <si>
    <t>247.7</t>
  </si>
  <si>
    <t>KA7</t>
  </si>
  <si>
    <t>Belkopa</t>
  </si>
  <si>
    <t>Kazakhstan:Belkopa</t>
  </si>
  <si>
    <t>50.06536 N 59.59568 E</t>
  </si>
  <si>
    <t>KA8</t>
  </si>
  <si>
    <t>South Kazakhstan, Zhambyl region</t>
  </si>
  <si>
    <t>Kazakhstan:Akkol</t>
  </si>
  <si>
    <t>43.54248 N 70.70400 E</t>
  </si>
  <si>
    <t>Gudzh_water</t>
  </si>
  <si>
    <t>Lake Gudzhirganskoe</t>
  </si>
  <si>
    <t>Tibetan Plateau</t>
  </si>
  <si>
    <t>Bangong Co</t>
  </si>
  <si>
    <t>China:Tibetan Plateau</t>
  </si>
  <si>
    <t>33.50688333 N 79.81849166 E</t>
  </si>
  <si>
    <t>31.22901666 N 91.10875 E</t>
  </si>
  <si>
    <t>31.68666666 N 88.70861111 E</t>
  </si>
  <si>
    <t>Mapam Yumco</t>
  </si>
  <si>
    <t>30.74192222 N 81.57108055 E</t>
  </si>
  <si>
    <t>Urru Co</t>
  </si>
  <si>
    <t>31.77962777 N 88.07386111 E</t>
  </si>
  <si>
    <t>31.33558611 N 90.58961666 E</t>
  </si>
  <si>
    <t>32.41774444 N 82.97188611 E</t>
  </si>
  <si>
    <t>31.52669444 N 91.53168611 E</t>
  </si>
  <si>
    <t>Dawa Co</t>
  </si>
  <si>
    <t>31.22166944 N 85.00583611 E</t>
  </si>
  <si>
    <t>Tangra Yumco</t>
  </si>
  <si>
    <t>31.35506388 N 86.6539 E</t>
  </si>
  <si>
    <t>Dong Co</t>
  </si>
  <si>
    <t>32.15925 N 84.72611111 E</t>
  </si>
  <si>
    <t>Kunggyu</t>
  </si>
  <si>
    <t>30.63209444 N 82.14183611 E</t>
  </si>
  <si>
    <t>Nam Co</t>
  </si>
  <si>
    <t>30.66490555 N 90.80185277 E</t>
  </si>
  <si>
    <t>Pung Co</t>
  </si>
  <si>
    <t>31.44505277 N 90.92033055 E</t>
  </si>
  <si>
    <t>Selin Co</t>
  </si>
  <si>
    <t>31.68833333 N 88.78416666 E</t>
  </si>
  <si>
    <t>Zhari Namco</t>
  </si>
  <si>
    <t>30.99296666 N 85.59155833 E</t>
  </si>
  <si>
    <t>Zhaxi Co</t>
  </si>
  <si>
    <t>32.19537777 N 85.07547777 E</t>
  </si>
  <si>
    <t>31.71047777 N 89.43625 E</t>
  </si>
  <si>
    <t>31.56467777 N 86.78088333 E</t>
  </si>
  <si>
    <t>32.28039166 N 82.2315 E</t>
  </si>
  <si>
    <t>Site name</t>
  </si>
  <si>
    <t>Sample ID</t>
  </si>
  <si>
    <t>Geographic region</t>
  </si>
  <si>
    <t>Continent</t>
  </si>
  <si>
    <t>Europe</t>
  </si>
  <si>
    <t>Africa</t>
  </si>
  <si>
    <t>Asia</t>
  </si>
  <si>
    <t>North America</t>
  </si>
  <si>
    <t>53.64000 N 109.96000 E</t>
  </si>
  <si>
    <t>51.23000 N 112.23000 E</t>
  </si>
  <si>
    <t>References:</t>
  </si>
  <si>
    <t>Matyugina, E., Belkova, N., Borzenko, S., Lukyanov, P., Kabilov, M., Baturina, O., ... &amp; Ptitsyn, A. (2018). Structure and diversity dynamics of microbial communities at day and night: investigation of meromictic Lake Doroninskoe, Transbaikalia, Russia. Journal of Oceanology and Limnology, 36(6), 1978-1992.</t>
  </si>
  <si>
    <t>Gorlenko, V. M., Buryukhaev, S. P., Matyugina, E. B., Borzenko, S. V., Namsaraev, Z. B., Bryantseva, I. A., ... &amp; Namsaraev, B. B. (2010). Microbial communities of the stratified soda Lake Doroninskoe (Transbaikal region). Microbiology, 79(3), 390-401.</t>
  </si>
  <si>
    <t>Ji, M., Kong, W., Yue, L., Wang, J., Deng, Y., &amp; Zhu, L. (2019). Salinity reduces bacterial diversity, but increases network complexity in Tibetan Plateau lakes. FEMS Microbiology Ecology, 95(12), fiz190.</t>
  </si>
  <si>
    <t>Williams, W. D. (1991). Chinese and Mongolian saline lakes: a limnological overview. Hydrobiologia, 210(1), 39-66.</t>
  </si>
  <si>
    <t>Yuan, F., Sheng, Y., Yao, T., Fan, C., Li, J., Zhao, H., &amp; Lei, Y. (2011). Evaporative enrichment of oxygen-18 and deuterium in lake waters on the Tibetan Plateau. Journal of Paleolimnology, 46(2), 291-307.</t>
  </si>
  <si>
    <t>Qiao, B., Wang, J., Huang, L., &amp; Zhu, L. (2017). Characteristics and seasonal variations in the hydrochemistry of the Tangra Yumco basin, central Tibetan Plateau, and responses to the Indian summer monsoon. Environmental Earth Sciences, 76(4), 1-13.</t>
  </si>
  <si>
    <t>not found</t>
  </si>
  <si>
    <t>Note</t>
  </si>
  <si>
    <t>Yao, Z., Wang, R., Liu, Z., Wu, S., &amp; Jiang, L. (2015). Spatial-temporal patterns of major ion chemistry and its controlling factors in the Manasarovar Basin, Tibet. Journal of Geographical Sciences, 25(6), 687-700.</t>
  </si>
  <si>
    <r>
      <t>CO</t>
    </r>
    <r>
      <rPr>
        <b/>
        <vertAlign val="subscript"/>
        <sz val="11"/>
        <color theme="1"/>
        <rFont val="Calibri"/>
        <family val="2"/>
        <charset val="238"/>
        <scheme val="minor"/>
      </rPr>
      <t>3</t>
    </r>
    <r>
      <rPr>
        <b/>
        <vertAlign val="superscript"/>
        <sz val="11"/>
        <color theme="1"/>
        <rFont val="Calibri"/>
        <family val="2"/>
        <charset val="238"/>
        <scheme val="minor"/>
      </rPr>
      <t>2-</t>
    </r>
    <r>
      <rPr>
        <b/>
        <sz val="11"/>
        <color theme="1"/>
        <rFont val="Calibri"/>
        <family val="2"/>
        <charset val="238"/>
        <scheme val="minor"/>
      </rPr>
      <t xml:space="preserve"> (mg/L)</t>
    </r>
  </si>
  <si>
    <t>this study</t>
  </si>
  <si>
    <t>Zharman</t>
  </si>
  <si>
    <t>Melack, J. M., &amp; Kilham, P. (1974). Photosynthetic rates of phytoplankton in East African alkaline, saline lakes 1. Limnology and oceanography, 19(5), 743-755.</t>
  </si>
  <si>
    <t>Jirsa, F., Gruber, M., Stojanovic, A., Omondi, S. O., Mader, D., Körner, W., &amp; Schagerl, M. (2013). Major and trace element geochemistry of Lake Bogoria and Lake Nakuru, Kenya, during extreme draught. Geochemistry, 73(3), 275-282.</t>
  </si>
  <si>
    <t>Lameck, A. S., Skutai, J., &amp; Boros, E. (2023). Review of chemical properties of inland soda and saline waters in East Africa (rift valley region). Journal of Hydrology: Regional Studies, 46, 101323.</t>
  </si>
  <si>
    <t>Fazi, S., Amalfitano, S., Venturi, S., Pacini, N., Vazquez, E., Olaka, L. A., ... &amp; Butturini, A. (2021). High concentrations of dissolved biogenic methane associated with cyanobacterial blooms in East African lake surface water. Communications Biology, 4(1), 845.</t>
  </si>
  <si>
    <t>Getenet, M., García-Ruiz, J. M., Otálora, F., Emmerling, F., Al-Sabbagh, D., &amp; Verdugo-Escamilla, C. (2022). A Comprehensive Methodology for Monitoring Evaporitic Mineral Precipitation and Hydrochemical Evolution of Saline Lakes: The Case of Lake Magadi Soda Brine (East African Rift Valley, Kenya). Crystal Growth &amp; Design, 22(4), 2307-2317.</t>
  </si>
  <si>
    <t>Boros &amp; Kolpakova 2018</t>
  </si>
  <si>
    <t>Ion Balance</t>
  </si>
  <si>
    <t>n.d. - not determined</t>
  </si>
  <si>
    <t>freshwater</t>
  </si>
  <si>
    <t>Lin, L., Dong, L., Wang, Z., Li, C., Liu, M., Li, Q., &amp; Crittenden, J. C. (2021). Hydrochemical composition, distribution, and sources of typical organic pollutants and metals in Lake Bangong Co, Tibet. Environmental Science and Pollution Research, 28, 9877-9888.</t>
  </si>
  <si>
    <t>Bong Co</t>
  </si>
  <si>
    <t>Co Ngoin (1)</t>
  </si>
  <si>
    <t>Co Ngoin (2)</t>
  </si>
  <si>
    <t>Sun, M., Jin, H., Yao, X., Yan, L., Li, X., &amp; Gao, Y. (2020). Hydrochemistry differences and causes of tectonic lakes and glacial lakes in Tibetan plateau. Water, 12(11), 3165.</t>
  </si>
  <si>
    <t>Bam Co</t>
  </si>
  <si>
    <t>Bero Zeco</t>
  </si>
  <si>
    <t>Li, Q., Fan, Q., Wang, J., Qin, Z., Zhang, X., Wei, H., ... &amp; Shan, F. (2019). Hydrochemistry, distribution and formation of lithium-rich brines in salt lakes on the Qinghai-Tibetan Plateau. Minerals, 9(9), 528.</t>
  </si>
  <si>
    <t>Xiong, X., Zhang, K., Chen, Y., Qu, C., &amp; Wu, C. (2020). Arsenic in water, sediment, and fish of lakes from the Central Tibetan Plateau. Journal of Geochemical Exploration, 210, 106454.</t>
  </si>
  <si>
    <t>Wang, J., Zhu, L., Wang, Y., Ju, J., Xie, M., &amp; Daut, G. (2010). Comparisons between the chemical compositions of lake water, inflowing river water, and lake sediment in Nam Co, central Tibetan Plateau, China and their controlling mechanisms. Journal of Great Lakes Research, 36(4), 587-595.</t>
  </si>
  <si>
    <t>Bangkog Co</t>
  </si>
  <si>
    <t>Dangqiong Co</t>
  </si>
  <si>
    <t>Ye, C., Zheng, M., Nie, Z., Lv, Y., &amp; Wu, Q. (2016). Mg-borate deposit formation: Recharge and lake water hydrogeochemistry of Nieer Co Lake, northwestern Tibet. Geochemical Journal, 50(4), 327-339.</t>
  </si>
  <si>
    <t>Nyer Co (Nieer Co)</t>
  </si>
  <si>
    <t>Korponai, K., Szabó, A., Somogyi, B., Boros, E., Borsodi, A. K., Jurecska, L., ... &amp; Felföldi, T. (2019). Dual bloom of green algae and purple bacteria in an extremely shallow soda pan. Extremophiles, 23, 467-477.</t>
  </si>
  <si>
    <t>Shen, G., Han, R., Miao, Z., Xing, J., Li, Y., Wang, R., &amp; Zhu, D. (2022). Bacterial diversity differences and influence factors of four types of hydrochemical characteristic lakes in the Qinghai-Tibet Plateau. Biodiversity Science, 30(4), 21420.</t>
  </si>
  <si>
    <t>Günther, F., Thiele, A., Gleixner, G., Xu, B., Yao, T., &amp; Schouten, S. (2014). Distribution of bacterial and archaeal ether lipids in soils and surface sediments of Tibetan lakes: implications for GDGT-based proxies in saline high mountain lakes. Organic Geochemistry, 67, 19-30.</t>
  </si>
  <si>
    <t>Boros E., Ecsedi Z., Oláh J. (2013). Ecology and management of soda pans in the Carpathian Basin. Hortobágy Environmental Association.</t>
  </si>
  <si>
    <t>01Boddi</t>
  </si>
  <si>
    <t>2018-05-16</t>
  </si>
  <si>
    <t>2018-05-17</t>
  </si>
  <si>
    <t>2018-05-22</t>
  </si>
  <si>
    <t>2018-05-23</t>
  </si>
  <si>
    <t>46.629000 N 19.044000 E</t>
  </si>
  <si>
    <t>45.528717 N 20.291136 E</t>
  </si>
  <si>
    <t>45.628363 N 20.204091 E</t>
  </si>
  <si>
    <t>46.763633 N 19.180467 E</t>
  </si>
  <si>
    <t>47.692311 N 16.714088 E</t>
  </si>
  <si>
    <t>47.733561 N 16.720937 E</t>
  </si>
  <si>
    <t>47.206431 N 18.603350 E</t>
  </si>
  <si>
    <t>47.171115 N 18.546452 E</t>
  </si>
  <si>
    <t>47.199834 N 18.560681 E</t>
  </si>
  <si>
    <t>47.766282 N 16.783803 E</t>
  </si>
  <si>
    <t>47.816178 N 16.795678 E</t>
  </si>
  <si>
    <t>47.791089 N 16.779713 E</t>
  </si>
  <si>
    <t>47.758951 N 16.877194 E</t>
  </si>
  <si>
    <t>46.917583 N 17.918469 E</t>
  </si>
  <si>
    <t>46.735972 N 17.268286 E</t>
  </si>
  <si>
    <t>47.802617 N 16.785083 E</t>
  </si>
  <si>
    <t>19.9</t>
  </si>
  <si>
    <t>20.5</t>
  </si>
  <si>
    <t>21.2</t>
  </si>
  <si>
    <t>20.0</t>
  </si>
  <si>
    <t>23.9</t>
  </si>
  <si>
    <t>19.0</t>
  </si>
  <si>
    <t>21.4</t>
  </si>
  <si>
    <t>26.0</t>
  </si>
  <si>
    <t>23.7</t>
  </si>
  <si>
    <t>23.1</t>
  </si>
  <si>
    <t>22.2</t>
  </si>
  <si>
    <t>24.3</t>
  </si>
  <si>
    <t>28.9</t>
  </si>
  <si>
    <t>25.2</t>
  </si>
  <si>
    <t>27.3</t>
  </si>
  <si>
    <t>25.1</t>
  </si>
  <si>
    <t>22.6</t>
  </si>
  <si>
    <t>21.3</t>
  </si>
  <si>
    <t>24.8</t>
  </si>
  <si>
    <t>02Soser</t>
  </si>
  <si>
    <t>03KolonNy</t>
  </si>
  <si>
    <t>Szilágyi2005</t>
  </si>
  <si>
    <t>Szilágyi, F. (2005). A vízpótlás hatása a Balaton és a Zala vizének ionösszetételére (In Hungarian)</t>
  </si>
  <si>
    <t>Zorz, J. K., Sharp, C., Kleiner, M., Gordon, P. M., Pon, R. T., Dong, X., &amp; Strous, M. (2019). A shared core microbiome in soda lakes separated by large distances. Nature communications, 10(1), 4230.</t>
  </si>
  <si>
    <t>Nielsen &amp; DePaolo 2013</t>
  </si>
  <si>
    <t>Nielsen, L. C., &amp; DePaolo, D. J. (2013). Ca isotope fractionation in a high-alkalinity lake system: Mono Lake, California. Geochimica et Cosmochimica Acta, 118, 276-294.</t>
  </si>
  <si>
    <t>Phillips, A. A., Speth, D. R., Miller, L. G., Wang, X. T., Wu, F., Medeiros, P. M., ... &amp; Sessions, A. L. (2021). Microbial succession and dynamics in meromictic Mono Lake, California. Geobiology, 19(4), 376-393.</t>
  </si>
  <si>
    <t>Edwardson, C. F., &amp; Hollibaugh, J. T. (2018). Composition and activity of microbial communities along the redox gradient of an alkaline, hypersaline, lake. Frontiers in Microbiology, 9, 14.</t>
  </si>
  <si>
    <t>Lavrentyeva, E. V., Erdyneeva, E. B., Banzaraktsaeva, T. G., Kotsyurbenko, O. R., Baturina, O. A., Khakhinov, V. V., &amp; Kozyreva, L. P. (2020). Prokaryotic diversity in the biotopes of the Gudzhirganskoe saline lake (Barguzin Valley, Russia). Microbiology, 89(3), 359-368.</t>
  </si>
  <si>
    <t>Barguzin Valley, Lake Baikal</t>
  </si>
  <si>
    <t>MLW_0917_00_1;MLW_0917_00_2;MLW_0917_00_3</t>
  </si>
  <si>
    <t>MLW_0917_05_1;MLW_0917_05_2;MLW_0917_05_3</t>
  </si>
  <si>
    <t>MLW_0917_10_1;MLW_0917_10_2;MLW_0917_10_3</t>
  </si>
  <si>
    <t>46.767102 N 19.151592 E</t>
  </si>
  <si>
    <t>46.827921 N 19.173656 E</t>
  </si>
  <si>
    <t>46.788645 N 19.172599 E</t>
  </si>
  <si>
    <t>46.760556 N 19.340278 E</t>
  </si>
  <si>
    <t>46.772997 N 19.340000 E</t>
  </si>
  <si>
    <t>04KolonT18</t>
  </si>
  <si>
    <t>05Szelid18</t>
  </si>
  <si>
    <t>06Rusanda18</t>
  </si>
  <si>
    <t>07SlanoKopovo18</t>
  </si>
  <si>
    <t>08VBK18</t>
  </si>
  <si>
    <t>09Kelemen18</t>
  </si>
  <si>
    <t>12KH18</t>
  </si>
  <si>
    <t>10Zab18</t>
  </si>
  <si>
    <t>13FertoB018</t>
  </si>
  <si>
    <t>14VelenceiKo18</t>
  </si>
  <si>
    <t>16VelenceiNy18</t>
  </si>
  <si>
    <t>15Dinnyesi18</t>
  </si>
  <si>
    <t>19SudlicherSilbersee18</t>
  </si>
  <si>
    <t>17Zicklacke18</t>
  </si>
  <si>
    <t>20LangeLacke18</t>
  </si>
  <si>
    <t>21BalatonTihany18</t>
  </si>
  <si>
    <t>23UntererStinker18</t>
  </si>
  <si>
    <t>22BalatonKeszthely18</t>
  </si>
  <si>
    <t>Ionic composition type*</t>
  </si>
  <si>
    <t>soda</t>
  </si>
  <si>
    <t>saline</t>
  </si>
  <si>
    <t>soda-saline</t>
  </si>
  <si>
    <t>SRR769740</t>
  </si>
  <si>
    <t>Reference for environmental variables</t>
  </si>
  <si>
    <t>Fazi, S., Butturini, A., Tassi, F., Amalfitano, S., Venturi, S., Vazquez, E., ... &amp; Harper, D. M. (2018). Biogeochemistry and biodiversity in a network of saline–alkaline lakes: Implications of ecohydrological connectivity in the Kenyan Rift Valley. Ecohydrology &amp; Hydrobiology, 18(2), 96-106.</t>
  </si>
  <si>
    <t>SRR769721</t>
  </si>
  <si>
    <t>SRR769693</t>
  </si>
  <si>
    <t>SRR769632</t>
  </si>
  <si>
    <t>SRR769634</t>
  </si>
  <si>
    <t>the two read set from Lake Bogoria merged together during the bioinformatic analysis</t>
  </si>
  <si>
    <t>SRR10674068</t>
  </si>
  <si>
    <t>Kambura, A. K. (2017). Metagenomic and Metatranscriptomic analysis of Bacterial, Archaeal and Fungal communities within the hot springs of Lake Magadi in Kenya (Doctoral dissertation, Institute of Biotechnology Research, JKUAT).</t>
  </si>
  <si>
    <t>KZ02</t>
  </si>
  <si>
    <t>KZ04</t>
  </si>
  <si>
    <t>KZ05</t>
  </si>
  <si>
    <t>KZ08</t>
  </si>
  <si>
    <t>KZ12</t>
  </si>
  <si>
    <t>KZ19</t>
  </si>
  <si>
    <t>K03bact</t>
  </si>
  <si>
    <t>K06bact</t>
  </si>
  <si>
    <t>K10bact</t>
  </si>
  <si>
    <t>K13bact</t>
  </si>
  <si>
    <t>K15bact</t>
  </si>
  <si>
    <t>K16bact</t>
  </si>
  <si>
    <t>K18bact</t>
  </si>
  <si>
    <t>K20bact</t>
  </si>
  <si>
    <t>SRR4292558</t>
  </si>
  <si>
    <t>SRR4292556</t>
  </si>
  <si>
    <t>SRR8433480</t>
  </si>
  <si>
    <t>SRR8433481</t>
  </si>
  <si>
    <t>SRR8433482</t>
  </si>
  <si>
    <t>SRR8433483</t>
  </si>
  <si>
    <t>SRR8433484</t>
  </si>
  <si>
    <t>SRR8433485</t>
  </si>
  <si>
    <t>SRR8433487</t>
  </si>
  <si>
    <t>SRR8433488</t>
  </si>
  <si>
    <t>SRR8433489</t>
  </si>
  <si>
    <t>SRR8433474</t>
  </si>
  <si>
    <t>SRR8433475</t>
  </si>
  <si>
    <t>SRR8433476</t>
  </si>
  <si>
    <t>SRR8433706</t>
  </si>
  <si>
    <t>SRR8433477</t>
  </si>
  <si>
    <t>SRR8433470</t>
  </si>
  <si>
    <t>SRR8433471</t>
  </si>
  <si>
    <t>SRR8433472</t>
  </si>
  <si>
    <t>SRR8433473</t>
  </si>
  <si>
    <t>SRR8433478</t>
  </si>
  <si>
    <t>SRR8433479</t>
  </si>
  <si>
    <t>SRR8433491</t>
  </si>
  <si>
    <t>SRR8433490</t>
  </si>
  <si>
    <t>SRR8433493</t>
  </si>
  <si>
    <t>SRR8433492</t>
  </si>
  <si>
    <t>SRR8433495</t>
  </si>
  <si>
    <t>SRR8433494</t>
  </si>
  <si>
    <t>SRR8433497</t>
  </si>
  <si>
    <t>SRR8433496</t>
  </si>
  <si>
    <t>SRR8433498</t>
  </si>
  <si>
    <t>SRR2186745</t>
  </si>
  <si>
    <t>SRR16560239</t>
  </si>
  <si>
    <t>SRR16560259</t>
  </si>
  <si>
    <t>SRR22904839</t>
  </si>
  <si>
    <t>SRR22904840</t>
  </si>
  <si>
    <t>SRR16560240</t>
  </si>
  <si>
    <t>SRR16560241</t>
  </si>
  <si>
    <t>SRR16560242</t>
  </si>
  <si>
    <t>SRR16560244</t>
  </si>
  <si>
    <t>SRR16560245</t>
  </si>
  <si>
    <t>SRR16560246</t>
  </si>
  <si>
    <t>SRR16560247</t>
  </si>
  <si>
    <t>SRR16560248</t>
  </si>
  <si>
    <t>SRR16560265</t>
  </si>
  <si>
    <t>SRR16560250</t>
  </si>
  <si>
    <t>SRR16560251</t>
  </si>
  <si>
    <t>SRR16560252</t>
  </si>
  <si>
    <t>SRR16560253</t>
  </si>
  <si>
    <t>Nyeki-szallas</t>
  </si>
  <si>
    <t>SRR16560254</t>
  </si>
  <si>
    <t>SRR16560255</t>
  </si>
  <si>
    <t>SRR16560256</t>
  </si>
  <si>
    <t>SRR16560236</t>
  </si>
  <si>
    <t>SRR16560258</t>
  </si>
  <si>
    <t>Borsodi-dulo</t>
  </si>
  <si>
    <t>SRR22904841</t>
  </si>
  <si>
    <t>SRR16560261</t>
  </si>
  <si>
    <t>SRR16560262</t>
  </si>
  <si>
    <t>SRR16560263</t>
  </si>
  <si>
    <t>SRR16560264</t>
  </si>
  <si>
    <t>SRR16560266</t>
  </si>
  <si>
    <t>SRR22904842</t>
  </si>
  <si>
    <t>SRR16560267</t>
  </si>
  <si>
    <t>SRR16560268</t>
  </si>
  <si>
    <t>SRR16560269</t>
  </si>
  <si>
    <t>SRR16560272</t>
  </si>
  <si>
    <t>SRR16560273</t>
  </si>
  <si>
    <t>SRR16560274</t>
  </si>
  <si>
    <t>SRR16560275</t>
  </si>
  <si>
    <t>SRR16560276</t>
  </si>
  <si>
    <t>Ostliche Worthenlacke</t>
  </si>
  <si>
    <t>Obere Hollacke</t>
  </si>
  <si>
    <t>Ostliche Fuchslochlacke</t>
  </si>
  <si>
    <t>Sudlicher Silbersee</t>
  </si>
  <si>
    <t>Westliche Worthenlacke</t>
  </si>
  <si>
    <t>Kuhbrunnlacke</t>
  </si>
  <si>
    <t>SRR16560277</t>
  </si>
  <si>
    <t>SRR16560278</t>
  </si>
  <si>
    <t>SRR16560279</t>
  </si>
  <si>
    <t>SRR16560280</t>
  </si>
  <si>
    <t>SRR16560281</t>
  </si>
  <si>
    <t>SRR22904843</t>
  </si>
  <si>
    <t>SRR16560234</t>
  </si>
  <si>
    <t>Silberlacke (Sudlicher Silbersee)</t>
  </si>
  <si>
    <t>SRR16560235</t>
  </si>
  <si>
    <t>SRR16560237</t>
  </si>
  <si>
    <t>SRR16560238</t>
  </si>
  <si>
    <t>SRR16560249</t>
  </si>
  <si>
    <t>SRR16560260</t>
  </si>
  <si>
    <t>SRR16560271</t>
  </si>
  <si>
    <t>SRR16560282</t>
  </si>
  <si>
    <t>SRR16560283</t>
  </si>
  <si>
    <t>Baks, Donger</t>
  </si>
  <si>
    <t>Hungary:Dinnyes</t>
  </si>
  <si>
    <t>Hungary:Kardoskut</t>
  </si>
  <si>
    <t>Hungary:Sarszentagota</t>
  </si>
  <si>
    <t>Hungary:Sarkeresztur</t>
  </si>
  <si>
    <t>SRR1519340</t>
  </si>
  <si>
    <t>SRR1519339</t>
  </si>
  <si>
    <t>SRR1519338</t>
  </si>
  <si>
    <t>SRR1519337</t>
  </si>
  <si>
    <t>SRR1519336</t>
  </si>
  <si>
    <t>SRR1519335</t>
  </si>
  <si>
    <t>SRR1519334</t>
  </si>
  <si>
    <t>SRR1519333</t>
  </si>
  <si>
    <t>SRR1519332</t>
  </si>
  <si>
    <t>SRR10801163</t>
  </si>
  <si>
    <t>SRR6329113</t>
  </si>
  <si>
    <t>SRR6329112</t>
  </si>
  <si>
    <t>SRR6329115</t>
  </si>
  <si>
    <t>SRR6329106</t>
  </si>
  <si>
    <t>SRR6329105</t>
  </si>
  <si>
    <t>SRR6329104</t>
  </si>
  <si>
    <t>0 - 0,3</t>
  </si>
  <si>
    <t>SRR8156978</t>
  </si>
  <si>
    <t>SRR8156959</t>
  </si>
  <si>
    <t>SRR8156955</t>
  </si>
  <si>
    <t>SRR8156992</t>
  </si>
  <si>
    <t>SRR8156920</t>
  </si>
  <si>
    <t>SRR8156983</t>
  </si>
  <si>
    <t>SRR8156953</t>
  </si>
  <si>
    <t>SRR8156923</t>
  </si>
  <si>
    <t>SRR8156926</t>
  </si>
  <si>
    <t>SRR8156932</t>
  </si>
  <si>
    <t>SRR8156963</t>
  </si>
  <si>
    <t>SRR8156971</t>
  </si>
  <si>
    <t>SRR8156946</t>
  </si>
  <si>
    <t>SRR8156975</t>
  </si>
  <si>
    <t>SRR8156976</t>
  </si>
  <si>
    <t>SRR8156995</t>
  </si>
  <si>
    <t>SRR8156974</t>
  </si>
  <si>
    <t>SRR8156952</t>
  </si>
  <si>
    <t>SRR8156966</t>
  </si>
  <si>
    <t>SRR8156981</t>
  </si>
  <si>
    <t>SRR5291571</t>
  </si>
  <si>
    <t>SRR7799343</t>
  </si>
  <si>
    <t>SRR7799352</t>
  </si>
  <si>
    <t>SRR5291562</t>
  </si>
  <si>
    <t>SRR7799345</t>
  </si>
  <si>
    <t>SRR7799349</t>
  </si>
  <si>
    <t>SRR7799350</t>
  </si>
  <si>
    <t>SRR5291553</t>
  </si>
  <si>
    <t>SRR7799344</t>
  </si>
  <si>
    <t>SRR7799348</t>
  </si>
  <si>
    <t>SRR7799347</t>
  </si>
  <si>
    <t>SRR5291544</t>
  </si>
  <si>
    <t>SRR7799342</t>
  </si>
  <si>
    <t>SRR7799346</t>
  </si>
  <si>
    <t>SRR7799351</t>
  </si>
  <si>
    <t>SRR3475672</t>
  </si>
  <si>
    <t>SRR13742070</t>
  </si>
  <si>
    <t>SRR13742069</t>
  </si>
  <si>
    <t>SRR13742059</t>
  </si>
  <si>
    <t>SRR13742072</t>
  </si>
  <si>
    <t>SRR13742071</t>
  </si>
  <si>
    <t>SRR13742066</t>
  </si>
  <si>
    <t>SRR13742068;SRR13742067;SRR13742098</t>
  </si>
  <si>
    <t>SRR5658453;SRR5658454</t>
  </si>
  <si>
    <t>SRR5658455;SRR5658457</t>
  </si>
  <si>
    <t>SRR13742097;SRR13742096;SRR13742095</t>
  </si>
  <si>
    <t>SRR13742094;SRR13742093;SRR13742092</t>
  </si>
  <si>
    <t>Boros, E., &amp; Kolpakova, M. (2018). A review of the defining chemical properties of soda lakes and pans: An assessment on a large geographic scale of Eurasian inland saline surface waters. PLoS One, 13(8), e0202205. Ionic composition data on DRYAD: https://datadryad.org/stash/dataset/doi:10.5061/dryad.hj400j2</t>
  </si>
  <si>
    <t>SRR10841575</t>
  </si>
  <si>
    <t>B01w</t>
  </si>
  <si>
    <t>B02w</t>
  </si>
  <si>
    <t>B03w</t>
  </si>
  <si>
    <t>B04w</t>
  </si>
  <si>
    <t>B05w</t>
  </si>
  <si>
    <t>B06w</t>
  </si>
  <si>
    <t>B07w</t>
  </si>
  <si>
    <t>B08w</t>
  </si>
  <si>
    <t>B09w</t>
  </si>
  <si>
    <t>B010w</t>
  </si>
  <si>
    <t>B011w</t>
  </si>
  <si>
    <t>KH1w</t>
  </si>
  <si>
    <t>KH2w</t>
  </si>
  <si>
    <t>KH3w</t>
  </si>
  <si>
    <t>KH4w</t>
  </si>
  <si>
    <t>KH5w</t>
  </si>
  <si>
    <t>KH6w</t>
  </si>
  <si>
    <t>KH7w</t>
  </si>
  <si>
    <t>KH8w</t>
  </si>
  <si>
    <t>KH9w</t>
  </si>
  <si>
    <t>KH10w</t>
  </si>
  <si>
    <t>KH11w</t>
  </si>
  <si>
    <t>Szuróczki, S., Szabó, A., Korponai, K., Felföldi, T., Somogyi, B., Márialigeti, K., &amp; Tóth, E. (2020). Prokaryotic community composition in a great shallow soda lake covered by large reed stands (Neusiedler See/Lake Fertő) as revealed by cultivation-and DNA-based analyses. FEMS Microbiology Ecology, 96(10), fiaa159.</t>
  </si>
  <si>
    <t>SRR10841574</t>
  </si>
  <si>
    <t>SRR10841571</t>
  </si>
  <si>
    <t>SRR10841570</t>
  </si>
  <si>
    <t>2017-10</t>
  </si>
  <si>
    <t>Yue, L., Kong, W., Ji, M., Liu, J., &amp; Morgan-Kiss, R. M. (2019). Community response of microbial primary producers to salinity is primarily driven by nutrients in lakes. Science of the Total Environment, 696, 134001.</t>
  </si>
  <si>
    <t>Salinity published by Ji et al. (2019) is slightly below our 1 g/L threshold, however other sources reported elevated salinities for Nam Co (1.1 - 2.9 g/L), therefore we considered this site as 'soda'</t>
  </si>
  <si>
    <t>pH value is based on the average of 8 sample given in Ye et al., 2016</t>
  </si>
  <si>
    <t>*defined according to Boros &amp; Kolpakova 2018</t>
  </si>
  <si>
    <t>Szabó, A., Korponai, K., Kerepesi, C., Somogyi, B., Vörös, L., Bartha, D., ... &amp; Felföldi, T. (2017). Soda pans of the Pannonian steppe harbor unique bacterial communities adapted to multiple extreme conditions. Extremophiles, 21(3), 639-649.</t>
  </si>
  <si>
    <t>Szabó, A., Korponai, K., Somogyi, B., Vajna, B., Vörös, L., Horváth, Z., ... &amp; Felföldi, T. (2020). Grazing pressure-induced shift in planktonic bacterial communities with the dominance of acIII-A1 actinobacterial lineage in soda pans. Scientific Reports, 10(1), 19871.</t>
  </si>
  <si>
    <t>Andrei, A. Ş., Robeson, M. S., Baricz, A., Coman, C., Muntean, V., Ionescu, A., ... &amp; Banciu, H. L. (2015). Contrasting taxonomic stratification of microbial communities in two hypersaline meromictic lakes. The ISME journal, 9(12), 2642-2656.</t>
  </si>
  <si>
    <t>Márton, Z., Csitári, B., Felföldi, T., Hidas, A., Jordán, F., Szabó, A., &amp; Székely, A. J. (2023). Contrasting response of microeukaryotic and bacterial communities to the interplay of seasonality and local stressors in shallow soda lakes. FEMS Microbiology Ecology, 99(9), fiad095.</t>
  </si>
  <si>
    <t>Borsodi, A. K., Szabó, A., Krett, G., Felföldi, T., Specziár, A., &amp; Boros, G. (2017). Gut content microbiota of introduced bigheaded carps (Hypophthalmichthys spp.) inhabiting the largest shallow lake in Central Europe. Microbiological Research, 195, 40-50.</t>
  </si>
  <si>
    <t>Mentes, A., Szabó, A., Somogyi, B., Vajna, B., Tugyi, N., Csitári, B., ... &amp; Felföldi, T. (2018). Differences in planktonic microbial communities associated with three types of macrophyte stands in a shallow lake. FEMS Microbiology Ecology, 94(2), fix164.</t>
  </si>
  <si>
    <t>Albersee</t>
  </si>
  <si>
    <t>Auerlacke</t>
  </si>
  <si>
    <t xml:space="preserve">Lange Lacke </t>
  </si>
  <si>
    <t>Szabó, B., Szabó, A., Vad, C. F., Boros, E., Lukić, D., Ptacnik, R., ... &amp; Horváth, Z. (2022). Microbial stowaways: Waterbirds as dispersal vectors of aquatic pro‐and microeukaryotic communities. Journal of Biogeography, 49(7), 1286-1298.</t>
  </si>
  <si>
    <t>Márton, Z., Szabó, B., Vad, C. F., Pálffy, K., &amp; Horváth, Z. (2023b). Environmental changes associated with drying climate are expected to affect functional groups of pro-and microeukaryotes differently in temporary saline waters. Scientific Reports, 13(1), 3243.</t>
  </si>
  <si>
    <t>soda lake microbial mats;  for instances where data were not determined, the measurements from 2015, as presented in Zorz et al., 2019, were used</t>
  </si>
  <si>
    <t>soda lake microbial mats;  for instances where data were not determined, the measurements from 2015, as presented in Zorz et al., 2019, were used in the analysis</t>
  </si>
  <si>
    <t>soda lake microbial mats</t>
  </si>
  <si>
    <t>Hungary:Oxbow Fadd-Dombori</t>
  </si>
  <si>
    <t xml:space="preserve">n.d. </t>
  </si>
  <si>
    <t>coordinates of the lake: 46.44978 N 18.85512 E</t>
  </si>
  <si>
    <t>Hungary:Oxbow Tolnai</t>
  </si>
  <si>
    <t>coordinates of the lake: 46.42737 N 18.79895 E</t>
  </si>
  <si>
    <t>coordinates of the lake: 47.688386 N 16.713290 E</t>
  </si>
  <si>
    <t>Serbia:Melenci</t>
  </si>
  <si>
    <t>Serbia:Novi Becej</t>
  </si>
  <si>
    <t>Hungary:Gardony</t>
  </si>
  <si>
    <t>Hungary:Pakozd</t>
  </si>
  <si>
    <t>Austria:Illmitz</t>
  </si>
  <si>
    <t>Austria:Apetlon</t>
  </si>
  <si>
    <t>Hungary:Tihany</t>
  </si>
  <si>
    <t>Hungary:Keszthely</t>
  </si>
  <si>
    <t>0.01</t>
  </si>
  <si>
    <t>Nyeki szallas</t>
  </si>
  <si>
    <t xml:space="preserve">Lake Balkhash </t>
  </si>
  <si>
    <t xml:space="preserve">saline lake </t>
  </si>
  <si>
    <t>Co Ngoin</t>
  </si>
  <si>
    <t xml:space="preserve">Budos-szek </t>
  </si>
  <si>
    <t>soda pan</t>
  </si>
  <si>
    <t>Sos-er</t>
  </si>
  <si>
    <t>Zab-szek</t>
  </si>
  <si>
    <t xml:space="preserve">Lake Ferto/Neusiedl </t>
  </si>
  <si>
    <t xml:space="preserve">Boddi-szek </t>
  </si>
  <si>
    <t>Kelemen-szek</t>
  </si>
  <si>
    <t>Oxbow Tiszaalpar</t>
  </si>
  <si>
    <t>Oxbow Lakiteleki</t>
  </si>
  <si>
    <t>Reservoir Deseda</t>
  </si>
  <si>
    <t>Oxbow Martely</t>
  </si>
  <si>
    <t>Oxbow Fadd-Dombori</t>
  </si>
  <si>
    <t>Lake Kovacsszenaja</t>
  </si>
  <si>
    <t>Lake Morotva</t>
  </si>
  <si>
    <t>Oxbow Riha</t>
  </si>
  <si>
    <t>Oxbow Tolnai</t>
  </si>
  <si>
    <t xml:space="preserve">Kuhbrunnlacke </t>
  </si>
  <si>
    <t>Lake Tisza</t>
  </si>
  <si>
    <t>Boddi-szek</t>
  </si>
  <si>
    <t xml:space="preserve">Sos-er </t>
  </si>
  <si>
    <t xml:space="preserve">Lake Kolon </t>
  </si>
  <si>
    <t xml:space="preserve">Ruszanda </t>
  </si>
  <si>
    <t>Soskopo</t>
  </si>
  <si>
    <t>Lake Velence</t>
  </si>
  <si>
    <t>Sarkany-to</t>
  </si>
  <si>
    <t>Budos-szek</t>
  </si>
  <si>
    <t>Vesszos-szek</t>
  </si>
  <si>
    <t xml:space="preserve">Borsodi-dulo </t>
  </si>
  <si>
    <t>Sosto</t>
  </si>
  <si>
    <t>near Pusztaszer</t>
  </si>
  <si>
    <t xml:space="preserve">Kelemen-szek </t>
  </si>
  <si>
    <t xml:space="preserve">Zab-szek </t>
  </si>
  <si>
    <t>Lake Feher</t>
  </si>
  <si>
    <t>pan no. 60</t>
  </si>
  <si>
    <t>Site description</t>
  </si>
  <si>
    <t>Dinnyesi-ferto</t>
  </si>
  <si>
    <t>Lake Szelid</t>
  </si>
  <si>
    <r>
      <t>Na</t>
    </r>
    <r>
      <rPr>
        <b/>
        <vertAlign val="superscript"/>
        <sz val="10"/>
        <color theme="1"/>
        <rFont val="Calibri"/>
        <family val="2"/>
        <charset val="238"/>
        <scheme val="minor"/>
      </rPr>
      <t>+</t>
    </r>
    <r>
      <rPr>
        <b/>
        <sz val="10"/>
        <color theme="1"/>
        <rFont val="Calibri"/>
        <family val="2"/>
        <charset val="238"/>
        <scheme val="minor"/>
      </rPr>
      <t xml:space="preserve"> </t>
    </r>
    <r>
      <rPr>
        <b/>
        <sz val="11"/>
        <color theme="1"/>
        <rFont val="Calibri"/>
        <family val="2"/>
        <charset val="238"/>
        <scheme val="minor"/>
      </rPr>
      <t>(mg/L)</t>
    </r>
  </si>
  <si>
    <r>
      <t>K</t>
    </r>
    <r>
      <rPr>
        <b/>
        <vertAlign val="superscript"/>
        <sz val="11"/>
        <color theme="1"/>
        <rFont val="Calibri"/>
        <family val="2"/>
        <charset val="238"/>
        <scheme val="minor"/>
      </rPr>
      <t>+</t>
    </r>
    <r>
      <rPr>
        <b/>
        <sz val="11"/>
        <color theme="1"/>
        <rFont val="Calibri"/>
        <family val="2"/>
        <charset val="238"/>
        <scheme val="minor"/>
      </rPr>
      <t xml:space="preserve"> (mg/L)</t>
    </r>
  </si>
  <si>
    <r>
      <t>Ca</t>
    </r>
    <r>
      <rPr>
        <b/>
        <vertAlign val="superscript"/>
        <sz val="11"/>
        <color theme="1"/>
        <rFont val="Calibri"/>
        <family val="2"/>
        <charset val="238"/>
        <scheme val="minor"/>
      </rPr>
      <t>2+</t>
    </r>
    <r>
      <rPr>
        <b/>
        <sz val="11"/>
        <color theme="1"/>
        <rFont val="Calibri"/>
        <family val="2"/>
        <charset val="238"/>
        <scheme val="minor"/>
      </rPr>
      <t xml:space="preserve"> (mg/L)</t>
    </r>
  </si>
  <si>
    <r>
      <t>Mg</t>
    </r>
    <r>
      <rPr>
        <b/>
        <vertAlign val="superscript"/>
        <sz val="11"/>
        <color theme="1"/>
        <rFont val="Calibri"/>
        <family val="2"/>
        <charset val="238"/>
        <scheme val="minor"/>
      </rPr>
      <t>2+</t>
    </r>
    <r>
      <rPr>
        <b/>
        <sz val="11"/>
        <color theme="1"/>
        <rFont val="Calibri"/>
        <family val="2"/>
        <charset val="238"/>
        <scheme val="minor"/>
      </rPr>
      <t xml:space="preserve"> (mg/L)</t>
    </r>
  </si>
  <si>
    <r>
      <t>Cl</t>
    </r>
    <r>
      <rPr>
        <b/>
        <vertAlign val="superscript"/>
        <sz val="11"/>
        <color theme="1"/>
        <rFont val="Calibri"/>
        <family val="2"/>
        <charset val="238"/>
        <scheme val="minor"/>
      </rPr>
      <t>-</t>
    </r>
    <r>
      <rPr>
        <b/>
        <sz val="11"/>
        <color theme="1"/>
        <rFont val="Calibri"/>
        <family val="2"/>
        <charset val="238"/>
        <scheme val="minor"/>
      </rPr>
      <t xml:space="preserve"> (mg/L)</t>
    </r>
  </si>
  <si>
    <r>
      <t>SO</t>
    </r>
    <r>
      <rPr>
        <b/>
        <vertAlign val="subscript"/>
        <sz val="11"/>
        <color theme="1"/>
        <rFont val="Calibri"/>
        <family val="2"/>
        <charset val="238"/>
        <scheme val="minor"/>
      </rPr>
      <t>4</t>
    </r>
    <r>
      <rPr>
        <b/>
        <vertAlign val="superscript"/>
        <sz val="11"/>
        <color theme="1"/>
        <rFont val="Calibri"/>
        <family val="2"/>
        <charset val="238"/>
        <scheme val="minor"/>
      </rPr>
      <t>2-</t>
    </r>
    <r>
      <rPr>
        <b/>
        <sz val="11"/>
        <color theme="1"/>
        <rFont val="Calibri"/>
        <family val="2"/>
        <charset val="238"/>
        <scheme val="minor"/>
      </rPr>
      <t xml:space="preserve"> (mg/L)</t>
    </r>
  </si>
  <si>
    <r>
      <t>HCO</t>
    </r>
    <r>
      <rPr>
        <b/>
        <vertAlign val="subscript"/>
        <sz val="11"/>
        <color theme="1"/>
        <rFont val="Calibri"/>
        <family val="2"/>
        <charset val="238"/>
        <scheme val="minor"/>
      </rPr>
      <t>3</t>
    </r>
    <r>
      <rPr>
        <b/>
        <vertAlign val="superscript"/>
        <sz val="11"/>
        <color theme="1"/>
        <rFont val="Calibri"/>
        <family val="2"/>
        <charset val="238"/>
        <scheme val="minor"/>
      </rPr>
      <t>-</t>
    </r>
    <r>
      <rPr>
        <b/>
        <sz val="11"/>
        <color theme="1"/>
        <rFont val="Calibri"/>
        <family val="2"/>
        <charset val="238"/>
        <scheme val="minor"/>
      </rPr>
      <t xml:space="preserve"> (mg/L)</t>
    </r>
  </si>
  <si>
    <t>Water depth (m)</t>
  </si>
  <si>
    <t>Sampling depth (m)</t>
  </si>
  <si>
    <t>Conductivity (mS/cm)</t>
  </si>
  <si>
    <t>Salinity (g/L) from conductivity</t>
  </si>
  <si>
    <t>Salinity (g/L) from TDS</t>
  </si>
  <si>
    <t>T (°C)</t>
  </si>
  <si>
    <t>Dissolved oxigen (mg/l)</t>
  </si>
  <si>
    <r>
      <t>Chlorophyll-a (</t>
    </r>
    <r>
      <rPr>
        <b/>
        <sz val="11"/>
        <color theme="1"/>
        <rFont val="Calibri"/>
        <family val="2"/>
        <charset val="238"/>
      </rPr>
      <t>µg</t>
    </r>
    <r>
      <rPr>
        <b/>
        <sz val="11"/>
        <color theme="1"/>
        <rFont val="Calibri"/>
        <family val="2"/>
        <charset val="238"/>
        <scheme val="minor"/>
      </rPr>
      <t>/l)</t>
    </r>
  </si>
  <si>
    <t>TOC (mg/L)</t>
  </si>
  <si>
    <t>DOC (mg/L)</t>
  </si>
  <si>
    <t>Reference for ionic composition</t>
  </si>
  <si>
    <r>
      <t>Na</t>
    </r>
    <r>
      <rPr>
        <b/>
        <vertAlign val="superscript"/>
        <sz val="11"/>
        <color theme="1"/>
        <rFont val="Calibri"/>
        <family val="2"/>
        <charset val="238"/>
        <scheme val="minor"/>
      </rPr>
      <t>+</t>
    </r>
    <r>
      <rPr>
        <b/>
        <sz val="11"/>
        <color theme="1"/>
        <rFont val="Calibri"/>
        <family val="2"/>
        <charset val="238"/>
        <scheme val="minor"/>
      </rPr>
      <t xml:space="preserve"> (e%)</t>
    </r>
  </si>
  <si>
    <r>
      <t>K</t>
    </r>
    <r>
      <rPr>
        <b/>
        <vertAlign val="superscript"/>
        <sz val="11"/>
        <color theme="1"/>
        <rFont val="Calibri"/>
        <family val="2"/>
        <charset val="238"/>
        <scheme val="minor"/>
      </rPr>
      <t>+</t>
    </r>
    <r>
      <rPr>
        <b/>
        <sz val="11"/>
        <color theme="1"/>
        <rFont val="Calibri"/>
        <family val="2"/>
        <charset val="238"/>
        <scheme val="minor"/>
      </rPr>
      <t xml:space="preserve"> (e%)</t>
    </r>
  </si>
  <si>
    <r>
      <t>Ca</t>
    </r>
    <r>
      <rPr>
        <b/>
        <vertAlign val="superscript"/>
        <sz val="11"/>
        <color theme="1"/>
        <rFont val="Calibri"/>
        <family val="2"/>
        <charset val="238"/>
        <scheme val="minor"/>
      </rPr>
      <t>2+</t>
    </r>
    <r>
      <rPr>
        <b/>
        <sz val="11"/>
        <color theme="1"/>
        <rFont val="Calibri"/>
        <family val="2"/>
        <charset val="238"/>
        <scheme val="minor"/>
      </rPr>
      <t xml:space="preserve"> (e%)</t>
    </r>
  </si>
  <si>
    <r>
      <t>Mg</t>
    </r>
    <r>
      <rPr>
        <b/>
        <vertAlign val="superscript"/>
        <sz val="11"/>
        <color theme="1"/>
        <rFont val="Calibri"/>
        <family val="2"/>
        <charset val="238"/>
        <scheme val="minor"/>
      </rPr>
      <t>2+</t>
    </r>
    <r>
      <rPr>
        <b/>
        <sz val="11"/>
        <color theme="1"/>
        <rFont val="Calibri"/>
        <family val="2"/>
        <charset val="238"/>
        <scheme val="minor"/>
      </rPr>
      <t xml:space="preserve"> (e%)</t>
    </r>
  </si>
  <si>
    <r>
      <t>Cl</t>
    </r>
    <r>
      <rPr>
        <b/>
        <vertAlign val="superscript"/>
        <sz val="11"/>
        <color theme="1"/>
        <rFont val="Calibri"/>
        <family val="2"/>
        <charset val="238"/>
        <scheme val="minor"/>
      </rPr>
      <t>-</t>
    </r>
    <r>
      <rPr>
        <b/>
        <sz val="11"/>
        <color theme="1"/>
        <rFont val="Calibri"/>
        <family val="2"/>
        <charset val="238"/>
        <scheme val="minor"/>
      </rPr>
      <t xml:space="preserve"> (e%)</t>
    </r>
  </si>
  <si>
    <r>
      <t>SO</t>
    </r>
    <r>
      <rPr>
        <b/>
        <vertAlign val="subscript"/>
        <sz val="11"/>
        <color theme="1"/>
        <rFont val="Calibri"/>
        <family val="2"/>
        <charset val="238"/>
        <scheme val="minor"/>
      </rPr>
      <t>4</t>
    </r>
    <r>
      <rPr>
        <b/>
        <vertAlign val="superscript"/>
        <sz val="11"/>
        <color theme="1"/>
        <rFont val="Calibri"/>
        <family val="2"/>
        <charset val="238"/>
        <scheme val="minor"/>
      </rPr>
      <t>2-</t>
    </r>
    <r>
      <rPr>
        <b/>
        <sz val="11"/>
        <color theme="1"/>
        <rFont val="Calibri"/>
        <family val="2"/>
        <charset val="238"/>
        <scheme val="minor"/>
      </rPr>
      <t xml:space="preserve"> (e%)</t>
    </r>
  </si>
  <si>
    <r>
      <t>HCO</t>
    </r>
    <r>
      <rPr>
        <b/>
        <vertAlign val="subscript"/>
        <sz val="11"/>
        <color theme="1"/>
        <rFont val="Calibri"/>
        <family val="2"/>
        <charset val="238"/>
        <scheme val="minor"/>
      </rPr>
      <t>3</t>
    </r>
    <r>
      <rPr>
        <b/>
        <vertAlign val="superscript"/>
        <sz val="11"/>
        <color theme="1"/>
        <rFont val="Calibri"/>
        <family val="2"/>
        <charset val="238"/>
        <scheme val="minor"/>
      </rPr>
      <t>-</t>
    </r>
    <r>
      <rPr>
        <b/>
        <sz val="11"/>
        <color theme="1"/>
        <rFont val="Calibri"/>
        <family val="2"/>
        <charset val="238"/>
        <scheme val="minor"/>
      </rPr>
      <t xml:space="preserve"> (e%)</t>
    </r>
  </si>
  <si>
    <r>
      <t>HCO</t>
    </r>
    <r>
      <rPr>
        <b/>
        <vertAlign val="subscript"/>
        <sz val="11"/>
        <color theme="1"/>
        <rFont val="Calibri"/>
        <family val="2"/>
        <charset val="238"/>
        <scheme val="minor"/>
      </rPr>
      <t>3</t>
    </r>
    <r>
      <rPr>
        <b/>
        <vertAlign val="superscript"/>
        <sz val="11"/>
        <color theme="1"/>
        <rFont val="Calibri"/>
        <family val="2"/>
        <charset val="238"/>
        <scheme val="minor"/>
      </rPr>
      <t>-</t>
    </r>
    <r>
      <rPr>
        <b/>
        <sz val="11"/>
        <color theme="1"/>
        <rFont val="Calibri"/>
        <family val="2"/>
        <charset val="238"/>
        <scheme val="minor"/>
      </rPr>
      <t>+CO</t>
    </r>
    <r>
      <rPr>
        <b/>
        <vertAlign val="subscript"/>
        <sz val="11"/>
        <color theme="1"/>
        <rFont val="Calibri"/>
        <family val="2"/>
        <charset val="238"/>
        <scheme val="minor"/>
      </rPr>
      <t>3</t>
    </r>
    <r>
      <rPr>
        <b/>
        <vertAlign val="superscript"/>
        <sz val="11"/>
        <color theme="1"/>
        <rFont val="Calibri"/>
        <family val="2"/>
        <charset val="238"/>
        <scheme val="minor"/>
      </rPr>
      <t>2-</t>
    </r>
    <r>
      <rPr>
        <b/>
        <sz val="11"/>
        <color theme="1"/>
        <rFont val="Calibri"/>
        <family val="2"/>
        <charset val="238"/>
        <scheme val="minor"/>
      </rPr>
      <t xml:space="preserve"> (e%)</t>
    </r>
  </si>
  <si>
    <r>
      <t>CO</t>
    </r>
    <r>
      <rPr>
        <b/>
        <vertAlign val="subscript"/>
        <sz val="11"/>
        <color theme="1"/>
        <rFont val="Calibri"/>
        <family val="2"/>
        <charset val="238"/>
        <scheme val="minor"/>
      </rPr>
      <t>3</t>
    </r>
    <r>
      <rPr>
        <b/>
        <vertAlign val="superscript"/>
        <sz val="11"/>
        <color theme="1"/>
        <rFont val="Calibri"/>
        <family val="2"/>
        <charset val="238"/>
        <scheme val="minor"/>
      </rPr>
      <t>2-</t>
    </r>
    <r>
      <rPr>
        <b/>
        <sz val="11"/>
        <color theme="1"/>
        <rFont val="Calibri"/>
        <family val="2"/>
        <charset val="238"/>
        <scheme val="minor"/>
      </rPr>
      <t xml:space="preserve"> (e%)</t>
    </r>
  </si>
  <si>
    <t>soda lake</t>
  </si>
  <si>
    <t>saline lake</t>
  </si>
  <si>
    <t>freshwater lake</t>
  </si>
  <si>
    <t>Eastern Basin point 1</t>
  </si>
  <si>
    <t>Eastern Basin point 8</t>
  </si>
  <si>
    <t>Eastern Basin point 6</t>
  </si>
  <si>
    <t>Eastern Basin point 2</t>
  </si>
  <si>
    <t>Eastern Basin point 3</t>
  </si>
  <si>
    <t>Eastern Basin point 4</t>
  </si>
  <si>
    <t>Eastern Basin, unnamed lake, point 5</t>
  </si>
  <si>
    <t>Eastern Basin point 7</t>
  </si>
  <si>
    <t>unknown</t>
  </si>
  <si>
    <t>soda-saline lake</t>
  </si>
  <si>
    <t>Eastern Basin point 9</t>
  </si>
  <si>
    <t>Eastern Basin, unnamed lake, point 10</t>
  </si>
  <si>
    <t>Eastern Basin, point 11</t>
  </si>
  <si>
    <t>Lake Sasykkol</t>
  </si>
  <si>
    <t>saline marshland</t>
  </si>
  <si>
    <t>Kazakhstan:Lake Sasykkol</t>
  </si>
  <si>
    <r>
      <t>salinity values derived from conductivity based on the region specific equation (R</t>
    </r>
    <r>
      <rPr>
        <vertAlign val="superscript"/>
        <sz val="11"/>
        <color theme="1"/>
        <rFont val="Calibri"/>
        <family val="2"/>
        <charset val="238"/>
        <scheme val="minor"/>
      </rPr>
      <t>2</t>
    </r>
    <r>
      <rPr>
        <sz val="11"/>
        <color theme="1"/>
        <rFont val="Calibri"/>
        <family val="2"/>
        <charset val="238"/>
        <scheme val="minor"/>
      </rPr>
      <t xml:space="preserve"> = 0.91): salinity</t>
    </r>
    <r>
      <rPr>
        <vertAlign val="subscript"/>
        <sz val="11"/>
        <color theme="1"/>
        <rFont val="Calibri"/>
        <family val="2"/>
        <charset val="238"/>
        <scheme val="minor"/>
      </rPr>
      <t>EC</t>
    </r>
    <r>
      <rPr>
        <sz val="11"/>
        <color theme="1"/>
        <rFont val="Calibri"/>
        <family val="2"/>
        <charset val="238"/>
        <scheme val="minor"/>
      </rPr>
      <t xml:space="preserve"> = 1.1 * EC - 2.92 </t>
    </r>
  </si>
  <si>
    <t>soda lake, open water</t>
  </si>
  <si>
    <t>soda lake, Kis-Herlakni inner pond</t>
  </si>
  <si>
    <t>freshwater lake, open water</t>
  </si>
  <si>
    <t>freshwater lake, site with submerged macrophytes</t>
  </si>
  <si>
    <t>freshwater lake, site with emergent macrophytes</t>
  </si>
  <si>
    <t>freshwater lake, open water, Siofok Basin</t>
  </si>
  <si>
    <t>freshwater lake, open water, Keszthely Basin</t>
  </si>
  <si>
    <t>soda lake, Kis-Herlakni inner pond, site with submerged macrophytes</t>
  </si>
  <si>
    <t>soda lake, Nagy-Herlakni inner pond, site with submerged macrophytes</t>
  </si>
  <si>
    <t>freshwater lake, inflow of Zala River, site with submerged macrophytes</t>
  </si>
  <si>
    <t>soda-saline pan</t>
  </si>
  <si>
    <t>soda pan, beside Warmsee</t>
  </si>
  <si>
    <t>soda-saline pan, inflow</t>
  </si>
  <si>
    <r>
      <t xml:space="preserve">freshwater lake, site with </t>
    </r>
    <r>
      <rPr>
        <i/>
        <sz val="11"/>
        <color theme="1"/>
        <rFont val="Calibri"/>
        <family val="2"/>
        <charset val="238"/>
        <scheme val="minor"/>
      </rPr>
      <t>Nymphaea</t>
    </r>
  </si>
  <si>
    <t>soda lake, Eastern part</t>
  </si>
  <si>
    <t>soda lake, Western part</t>
  </si>
  <si>
    <t>soda pan, near Pusztaszer</t>
  </si>
  <si>
    <t>soda pan, near Szabadszallas</t>
  </si>
  <si>
    <t>soda pan, Southern part</t>
  </si>
  <si>
    <t>soda pan, Northern part</t>
  </si>
  <si>
    <t>soda-saline pan, Southern part</t>
  </si>
  <si>
    <t>soda-saline pan, Northern part</t>
  </si>
  <si>
    <t>soda lake, open water, Madarvarta Bay</t>
  </si>
  <si>
    <t>soda lake, Katona steg</t>
  </si>
  <si>
    <t>soda lake, To Szallo</t>
  </si>
  <si>
    <t>artificial pan, site 1</t>
  </si>
  <si>
    <t>Also-Szunyogi ret</t>
  </si>
  <si>
    <t>artificial pan, site 2</t>
  </si>
  <si>
    <t>artificial pan, site 3</t>
  </si>
  <si>
    <t>soda lake, Hidegsegi inner pond</t>
  </si>
  <si>
    <t>18ObererStinker18</t>
  </si>
  <si>
    <t>soda lake, open water, Fertorakos Bay</t>
  </si>
  <si>
    <t>soda lake, Hosszu-tisztas</t>
  </si>
  <si>
    <t>soda lake, Langi-tisztas</t>
  </si>
  <si>
    <t>soda lake, Felsoeri-tisztasok</t>
  </si>
  <si>
    <t>SRR28201961</t>
  </si>
  <si>
    <t>SRR28201960</t>
  </si>
  <si>
    <t>SRR28201955</t>
  </si>
  <si>
    <t>SRR28201954</t>
  </si>
  <si>
    <t>SRR28201953</t>
  </si>
  <si>
    <t>SRR28201952</t>
  </si>
  <si>
    <t>SRR28201951</t>
  </si>
  <si>
    <t>SRR28201950</t>
  </si>
  <si>
    <t>SRR28201949</t>
  </si>
  <si>
    <t>SRR28201959</t>
  </si>
  <si>
    <t>SRR28201958</t>
  </si>
  <si>
    <t>SRR28201957</t>
  </si>
  <si>
    <t>SRR28201956</t>
  </si>
  <si>
    <t>SRR28201989</t>
  </si>
  <si>
    <t>SRR28201988</t>
  </si>
  <si>
    <t>SRR28201979</t>
  </si>
  <si>
    <t>SRR28201978</t>
  </si>
  <si>
    <t>SRR28201977</t>
  </si>
  <si>
    <t>SRR28201976</t>
  </si>
  <si>
    <t>SRR28201975</t>
  </si>
  <si>
    <t>SRR28201974</t>
  </si>
  <si>
    <t>SRR28201973</t>
  </si>
  <si>
    <t>SRR28201972</t>
  </si>
  <si>
    <t>SRR28201987</t>
  </si>
  <si>
    <t>SRR28201986</t>
  </si>
  <si>
    <t>SRR28201985</t>
  </si>
  <si>
    <t>SRR28201984</t>
  </si>
  <si>
    <t>SRR28201983</t>
  </si>
  <si>
    <t>SRR28201982</t>
  </si>
  <si>
    <t>SRR28201981</t>
  </si>
  <si>
    <t>SRR28201980</t>
  </si>
  <si>
    <t>SRR22959451</t>
  </si>
  <si>
    <t>SRR22959450</t>
  </si>
  <si>
    <t>SRR22959437</t>
  </si>
  <si>
    <t>SRR22959434</t>
  </si>
  <si>
    <t>SRR22959423</t>
  </si>
  <si>
    <t>SRR22959372</t>
  </si>
  <si>
    <t>SRR22959417</t>
  </si>
  <si>
    <t>SRR22959366</t>
  </si>
  <si>
    <t>SRR22959347</t>
  </si>
  <si>
    <t>SRR22959400</t>
  </si>
  <si>
    <t>SRR22959449</t>
  </si>
  <si>
    <t>SRR22959390</t>
  </si>
  <si>
    <t>SRR22959333</t>
  </si>
  <si>
    <t>SRR22959326</t>
  </si>
  <si>
    <t>SRR22959443</t>
  </si>
  <si>
    <t>SRR22959442</t>
  </si>
  <si>
    <t>SRR22959441</t>
  </si>
  <si>
    <t>SRR22959440</t>
  </si>
  <si>
    <t>SRR22959439</t>
  </si>
  <si>
    <t>SRR22959438</t>
  </si>
  <si>
    <t>SRR22959436</t>
  </si>
  <si>
    <t>SRR22959387</t>
  </si>
  <si>
    <t>SRR22959386</t>
  </si>
  <si>
    <t>SRR22959385</t>
  </si>
  <si>
    <t>SRR22959384</t>
  </si>
  <si>
    <t>SRR22959383</t>
  </si>
  <si>
    <t>SRR22959382</t>
  </si>
  <si>
    <t>SRR22959381</t>
  </si>
  <si>
    <t>SRR22959380</t>
  </si>
  <si>
    <t>SRR22959435</t>
  </si>
  <si>
    <t>SRR22959433</t>
  </si>
  <si>
    <t>SRR22959432</t>
  </si>
  <si>
    <t>SRR22959431</t>
  </si>
  <si>
    <t>SRR22959430</t>
  </si>
  <si>
    <t>SRR22959429</t>
  </si>
  <si>
    <t>SRR22959428</t>
  </si>
  <si>
    <t>SRR22959427</t>
  </si>
  <si>
    <t>SRR22959426</t>
  </si>
  <si>
    <t>SRR22959425</t>
  </si>
  <si>
    <t>SRR22959424</t>
  </si>
  <si>
    <t>SRR22959422</t>
  </si>
  <si>
    <t>SRR22959421</t>
  </si>
  <si>
    <t>SRR22959420</t>
  </si>
  <si>
    <t>SRR22959379</t>
  </si>
  <si>
    <t>SRR22959378</t>
  </si>
  <si>
    <t>SRR22959377</t>
  </si>
  <si>
    <t>SRR22959376</t>
  </si>
  <si>
    <t>SRR22959375</t>
  </si>
  <si>
    <t>SRR22959374</t>
  </si>
  <si>
    <t>SRR22959373</t>
  </si>
  <si>
    <t>SRR22959355</t>
  </si>
  <si>
    <t>SRR22959354</t>
  </si>
  <si>
    <t>SRR22959353</t>
  </si>
  <si>
    <t>SRR22959352</t>
  </si>
  <si>
    <t>SRR22959350</t>
  </si>
  <si>
    <t>SRR22959351</t>
  </si>
  <si>
    <t>SRR22959349</t>
  </si>
  <si>
    <t>SRR22959348</t>
  </si>
  <si>
    <t>SRR22959416</t>
  </si>
  <si>
    <t>SRR22959415</t>
  </si>
  <si>
    <t>SRR22959414</t>
  </si>
  <si>
    <t>SRR22959419</t>
  </si>
  <si>
    <t>SRR22959418</t>
  </si>
  <si>
    <t>SRR28207514</t>
  </si>
  <si>
    <t>SRR28207513</t>
  </si>
  <si>
    <t>SRR28207512</t>
  </si>
  <si>
    <t>SRR28207511</t>
  </si>
  <si>
    <t>SRR28207510</t>
  </si>
  <si>
    <t>SRR28207509</t>
  </si>
  <si>
    <t>SRR28207508</t>
  </si>
  <si>
    <t>SRR28207533</t>
  </si>
  <si>
    <t>SRR28207532</t>
  </si>
  <si>
    <t>SRR28207550</t>
  </si>
  <si>
    <t>SRR28207528</t>
  </si>
  <si>
    <t>SRR28207521</t>
  </si>
  <si>
    <t>SRR28207520</t>
  </si>
  <si>
    <t>SRR28207519</t>
  </si>
  <si>
    <t>SRR28207518</t>
  </si>
  <si>
    <t>SRR28207517</t>
  </si>
  <si>
    <t>SRR28207516</t>
  </si>
  <si>
    <t>SRR28207551</t>
  </si>
  <si>
    <t>SRR28207549</t>
  </si>
  <si>
    <t>SRR28207548</t>
  </si>
  <si>
    <t>SRR28207547</t>
  </si>
  <si>
    <t>SRR28207546</t>
  </si>
  <si>
    <t>SRR28207545</t>
  </si>
  <si>
    <t>SRR28207544</t>
  </si>
  <si>
    <t>SRR28207542</t>
  </si>
  <si>
    <t>SRR28207541</t>
  </si>
  <si>
    <t>SRR28207540</t>
  </si>
  <si>
    <t>SRR28207539</t>
  </si>
  <si>
    <t>SRR28207538</t>
  </si>
  <si>
    <t>SRR28207537</t>
  </si>
  <si>
    <t>SRR28207536</t>
  </si>
  <si>
    <t>SRR28207535</t>
  </si>
  <si>
    <t>SRR28207534</t>
  </si>
  <si>
    <t>SRR28207543</t>
  </si>
  <si>
    <t>SRR28207531</t>
  </si>
  <si>
    <t>SRR28207530</t>
  </si>
  <si>
    <t>SRR28207529</t>
  </si>
  <si>
    <t>SRR28207527</t>
  </si>
  <si>
    <t>SRR28207526</t>
  </si>
  <si>
    <t>SRR28207525</t>
  </si>
  <si>
    <t>SRR28207524</t>
  </si>
  <si>
    <t>SRR28207523</t>
  </si>
  <si>
    <t>SRR28207522</t>
  </si>
  <si>
    <t>SRR28205851</t>
  </si>
  <si>
    <t>SRR28205850</t>
  </si>
  <si>
    <t>SRR28205838</t>
  </si>
  <si>
    <t>SRR28205831</t>
  </si>
  <si>
    <t>SRR28205830</t>
  </si>
  <si>
    <t>SRR28205829</t>
  </si>
  <si>
    <t>SRR28205828</t>
  </si>
  <si>
    <t>SRR28205827</t>
  </si>
  <si>
    <t>SRR28205826</t>
  </si>
  <si>
    <t>SRR28205825</t>
  </si>
  <si>
    <t>SRR28205849</t>
  </si>
  <si>
    <t>SRR28205847</t>
  </si>
  <si>
    <t>SRR28205846</t>
  </si>
  <si>
    <t>SRR28205845</t>
  </si>
  <si>
    <t>SRR28205844</t>
  </si>
  <si>
    <t>SRR28205843</t>
  </si>
  <si>
    <t>SRR28205842</t>
  </si>
  <si>
    <t>SRR28205841</t>
  </si>
  <si>
    <t>SRR28205840</t>
  </si>
  <si>
    <t>SRR28205839</t>
  </si>
  <si>
    <t>SRR28205837</t>
  </si>
  <si>
    <t>SRR28205836</t>
  </si>
  <si>
    <t>SRR28205835</t>
  </si>
  <si>
    <t>SRR28205848</t>
  </si>
  <si>
    <t>SRR28205834</t>
  </si>
  <si>
    <t>SRR28205833</t>
  </si>
  <si>
    <t>SRR28205832</t>
  </si>
  <si>
    <t>SRR28205968</t>
  </si>
  <si>
    <t>SRR28205967</t>
  </si>
  <si>
    <t>SRR28205955</t>
  </si>
  <si>
    <t>SRR28205944</t>
  </si>
  <si>
    <t>SRR28205933</t>
  </si>
  <si>
    <t>SRR28205923</t>
  </si>
  <si>
    <t>SRR28205958</t>
  </si>
  <si>
    <t>SRR28205922</t>
  </si>
  <si>
    <t>SRR28205921</t>
  </si>
  <si>
    <t>SRR28205920</t>
  </si>
  <si>
    <t>SRR28205966</t>
  </si>
  <si>
    <t>SRR28205965</t>
  </si>
  <si>
    <t>SRR28205964</t>
  </si>
  <si>
    <t>SRR28205963</t>
  </si>
  <si>
    <t>SRR28205962</t>
  </si>
  <si>
    <t>SRR28205961</t>
  </si>
  <si>
    <t>SRR28205960</t>
  </si>
  <si>
    <t>SRR28205959</t>
  </si>
  <si>
    <t>SRR28205957</t>
  </si>
  <si>
    <t>SRR28205956</t>
  </si>
  <si>
    <t>SRR28205954</t>
  </si>
  <si>
    <t>SRR28205953</t>
  </si>
  <si>
    <t>SRR28205952</t>
  </si>
  <si>
    <t>SRR28205951</t>
  </si>
  <si>
    <t>SRR28205950</t>
  </si>
  <si>
    <t>SRR28205949</t>
  </si>
  <si>
    <t>SRR28205948</t>
  </si>
  <si>
    <t>SRR28205947</t>
  </si>
  <si>
    <t>SRR28205946</t>
  </si>
  <si>
    <t>SRR28205945</t>
  </si>
  <si>
    <t>SRR28205943</t>
  </si>
  <si>
    <t>SRR28205942</t>
  </si>
  <si>
    <t>SRR28205941</t>
  </si>
  <si>
    <t>SRR28205940</t>
  </si>
  <si>
    <t>SRR28205939</t>
  </si>
  <si>
    <t>SRR28205938</t>
  </si>
  <si>
    <t>SRR28205937</t>
  </si>
  <si>
    <t>SRR28205936</t>
  </si>
  <si>
    <t>SRR28205935</t>
  </si>
  <si>
    <t>SRR28205934</t>
  </si>
  <si>
    <t>SRR28205932</t>
  </si>
  <si>
    <t>SRR28205931</t>
  </si>
  <si>
    <t>SRR28205930</t>
  </si>
  <si>
    <t>SRR28205929</t>
  </si>
  <si>
    <t>SRR28205928</t>
  </si>
  <si>
    <t>SRR28205927</t>
  </si>
  <si>
    <t>SRR28205926</t>
  </si>
  <si>
    <t>SRR28205925</t>
  </si>
  <si>
    <t>SRR28205924</t>
  </si>
  <si>
    <t>SRR28211548</t>
  </si>
  <si>
    <t>SRR28211547</t>
  </si>
  <si>
    <t>SRR28211546</t>
  </si>
  <si>
    <t>SRR28211545</t>
  </si>
  <si>
    <t>Sinclair, L., Osman, O. A., Bertilsson, S., &amp; Eiler, A. (2015). Microbial community composition and diversity via 16S rRNA gene amplicons: evaluating the illumina platform. PloS one, 10(2), e0116955.</t>
  </si>
  <si>
    <t>Ji et al. 2019</t>
  </si>
  <si>
    <t>Great Basin</t>
  </si>
  <si>
    <t>Fazi et al. 2018; 2021</t>
  </si>
  <si>
    <t>Fazi et al. 2018; Getenet et al. 2022</t>
  </si>
  <si>
    <t>Jirsa et al. 2013</t>
  </si>
  <si>
    <t>Boros et al. 2017</t>
  </si>
  <si>
    <t>Lavrentyeva et al. 2020</t>
  </si>
  <si>
    <t>Matyugina et al. 2018</t>
  </si>
  <si>
    <t>Ji et al. 2019 Yue et al. 2019</t>
  </si>
  <si>
    <t>Ji et al. 2019 Yuan et al. 2011</t>
  </si>
  <si>
    <t>Ji et al. 2019 Günther et al. 2014</t>
  </si>
  <si>
    <t>Ji et al. 2019; Wang2010</t>
  </si>
  <si>
    <t>Ji et al. 2019 Ye et al. 2016</t>
  </si>
  <si>
    <t>Szabo et al. 2017</t>
  </si>
  <si>
    <t>Szabo et al. 2020</t>
  </si>
  <si>
    <t>Korponai et al. 2019</t>
  </si>
  <si>
    <t>Szuroczki et al. 2020</t>
  </si>
  <si>
    <t>Mentes et al. 2018</t>
  </si>
  <si>
    <t>Sinclair et al. 2015</t>
  </si>
  <si>
    <t>Zorz et al. 2019</t>
  </si>
  <si>
    <t>Edwardson &amp; Hollibaugh 2018</t>
  </si>
  <si>
    <t>Philips et al. 2021</t>
  </si>
  <si>
    <t>Fazi et al. 2018; Lameck et al. 2023</t>
  </si>
  <si>
    <t>Szilagyi2005</t>
  </si>
  <si>
    <t>Marton et al. 2023b</t>
  </si>
  <si>
    <t>Szabo et al. 2022</t>
  </si>
  <si>
    <t>Marton et al. 2023a</t>
  </si>
  <si>
    <t>Kambura 2017</t>
  </si>
  <si>
    <t>Borsodi et al. 2017</t>
  </si>
  <si>
    <t>Fazi et al. 2021</t>
  </si>
  <si>
    <t>Melack &amp; Kilham 1974 (Lameck et al. 2023)</t>
  </si>
  <si>
    <t>Getenet et al. 2022</t>
  </si>
  <si>
    <t>Gorlenko et al. 2010</t>
  </si>
  <si>
    <t>Lin et al. 2021</t>
  </si>
  <si>
    <t>Yuan et al. 2011</t>
  </si>
  <si>
    <t>Sun et al. 2020</t>
  </si>
  <si>
    <t>Yao et al. 2015</t>
  </si>
  <si>
    <t>Li et al. 2019</t>
  </si>
  <si>
    <t>Xiong et al. 2020</t>
  </si>
  <si>
    <t>Qiao et al. 2017; Günther et al. 2014</t>
  </si>
  <si>
    <t>Yuan et al. 2011; Li et al. 2019; Sun et al. 2020</t>
  </si>
  <si>
    <t>Günther et al. 2014; Shen et al. 2022</t>
  </si>
  <si>
    <t>Williams 1991</t>
  </si>
  <si>
    <t>Andrei et al. 2015</t>
  </si>
  <si>
    <t>Korponai et al. 2020</t>
  </si>
  <si>
    <t>Boros et al. 2013</t>
  </si>
  <si>
    <t>Boros &amp; Kolpakova 2018; Boros et al. 2013</t>
  </si>
  <si>
    <t>Szilágyi 2005</t>
  </si>
  <si>
    <t>Williams 1991; Wang et al. 2010</t>
  </si>
  <si>
    <t>Russia:Buryatiya, Suvo</t>
  </si>
  <si>
    <t>Kenya:Crater Lake Sonachi</t>
  </si>
  <si>
    <t>Kenya:Lake Elmenteita</t>
  </si>
  <si>
    <t>Kenya:Lake Magadi</t>
  </si>
  <si>
    <t>Kenya:Lake Bogoria</t>
  </si>
  <si>
    <t>Canada:Cariboo Plateau</t>
  </si>
  <si>
    <t>USA:California, Mono Lake</t>
  </si>
  <si>
    <t>External</t>
  </si>
  <si>
    <t>Authors</t>
  </si>
  <si>
    <t>**sample collection and/or processing was carried out by the authors</t>
  </si>
  <si>
    <t>Data scource**</t>
  </si>
  <si>
    <t>Pannonian Basin</t>
  </si>
  <si>
    <t>Included in VIF/correlation analyses</t>
  </si>
  <si>
    <t>No</t>
  </si>
  <si>
    <t>Yes</t>
  </si>
  <si>
    <t>Self-collected data (including previously published data from our campaigns)</t>
  </si>
  <si>
    <t>Publicly available (external studies)</t>
  </si>
  <si>
    <r>
      <t xml:space="preserve">Supplementary Table S1. </t>
    </r>
    <r>
      <rPr>
        <sz val="11"/>
        <color theme="1"/>
        <rFont val="Calibri"/>
        <family val="2"/>
        <scheme val="minor"/>
      </rPr>
      <t>Description, data scource and associated environmental metadata (including ionic composition) of samples included in this study</t>
    </r>
  </si>
  <si>
    <t>16S rRNA region amplified</t>
  </si>
  <si>
    <t>V3-V4</t>
  </si>
  <si>
    <t>SRR4289798</t>
  </si>
  <si>
    <t>V4</t>
  </si>
  <si>
    <t>Reference for amplicon sequence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</si>
</sst>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m\-dd;@"/>
  </numFmts>
  <fonts count="19" x14ac:knownFonts="1">
    <font>
      <sz val="11"/>
      <color theme="1"/>
      <name val="Calibri"/>
      <family val="2"/>
      <charset val="238"/>
      <scheme val="minor"/>
    </font>
    <font>
      <sz val="11"/>
      <color theme="1"/>
      <name val="Calibri"/>
      <family val="2"/>
      <scheme val="minor"/>
    </font>
    <font>
      <b/>
      <sz val="11"/>
      <color theme="1"/>
      <name val="Calibri"/>
      <family val="2"/>
      <charset val="238"/>
      <scheme val="minor"/>
    </font>
    <font>
      <sz val="10"/>
      <color theme="1"/>
      <name val="Calibri"/>
      <family val="2"/>
      <charset val="238"/>
    </font>
    <font>
      <sz val="10"/>
      <name val="Calibri"/>
      <family val="2"/>
      <charset val="238"/>
    </font>
    <font>
      <sz val="10"/>
      <color indexed="8"/>
      <name val="Calibri"/>
      <family val="2"/>
      <charset val="238"/>
    </font>
    <font>
      <sz val="10"/>
      <name val="Arial Cyr"/>
      <family val="2"/>
      <charset val="204"/>
    </font>
    <font>
      <b/>
      <vertAlign val="superscript"/>
      <sz val="10"/>
      <color theme="1"/>
      <name val="Calibri"/>
      <family val="2"/>
      <charset val="238"/>
      <scheme val="minor"/>
    </font>
    <font>
      <b/>
      <vertAlign val="superscript"/>
      <sz val="11"/>
      <color theme="1"/>
      <name val="Calibri"/>
      <family val="2"/>
      <charset val="238"/>
      <scheme val="minor"/>
    </font>
    <font>
      <b/>
      <vertAlign val="subscript"/>
      <sz val="11"/>
      <color theme="1"/>
      <name val="Calibri"/>
      <family val="2"/>
      <charset val="238"/>
      <scheme val="minor"/>
    </font>
    <font>
      <sz val="11"/>
      <name val="Calibri"/>
      <family val="2"/>
      <charset val="238"/>
      <scheme val="minor"/>
    </font>
    <font>
      <sz val="8"/>
      <name val="Calibri"/>
      <family val="2"/>
      <charset val="238"/>
      <scheme val="minor"/>
    </font>
    <font>
      <i/>
      <sz val="11"/>
      <color theme="1"/>
      <name val="Calibri"/>
      <family val="2"/>
      <charset val="238"/>
      <scheme val="minor"/>
    </font>
    <font>
      <b/>
      <sz val="10"/>
      <color theme="1"/>
      <name val="Calibri"/>
      <family val="2"/>
      <charset val="238"/>
      <scheme val="minor"/>
    </font>
    <font>
      <b/>
      <sz val="11"/>
      <color theme="1"/>
      <name val="Calibri"/>
      <family val="2"/>
      <charset val="238"/>
    </font>
    <font>
      <vertAlign val="subscript"/>
      <sz val="11"/>
      <color theme="1"/>
      <name val="Calibri"/>
      <family val="2"/>
      <charset val="238"/>
      <scheme val="minor"/>
    </font>
    <font>
      <vertAlign val="superscript"/>
      <sz val="11"/>
      <color theme="1"/>
      <name val="Calibri"/>
      <family val="2"/>
      <charset val="238"/>
      <scheme val="minor"/>
    </font>
    <font>
      <b/>
      <sz val="11"/>
      <color theme="1"/>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6" fillId="0" borderId="0"/>
  </cellStyleXfs>
  <cellXfs count="30">
    <xf numFmtId="0" fontId="0" fillId="0" borderId="0" xfId="0"/>
    <xf numFmtId="0" fontId="2" fillId="0" borderId="0" xfId="0" applyFont="1"/>
    <xf numFmtId="0" fontId="0" fillId="0" borderId="0" xfId="0" applyAlignment="1">
      <alignment horizontal="left"/>
    </xf>
    <xf numFmtId="1" fontId="0" fillId="0" borderId="0" xfId="0" applyNumberFormat="1" applyAlignment="1">
      <alignment horizontal="left"/>
    </xf>
    <xf numFmtId="165" fontId="0" fillId="0" borderId="0" xfId="0" applyNumberFormat="1" applyAlignment="1">
      <alignment horizontal="left"/>
    </xf>
    <xf numFmtId="164" fontId="0" fillId="0" borderId="0" xfId="0" applyNumberFormat="1" applyAlignment="1">
      <alignment horizontal="left"/>
    </xf>
    <xf numFmtId="2" fontId="0" fillId="0" borderId="0" xfId="0" applyNumberFormat="1" applyAlignment="1">
      <alignment horizontal="left"/>
    </xf>
    <xf numFmtId="164" fontId="10" fillId="0" borderId="0" xfId="0" applyNumberFormat="1" applyFont="1" applyAlignment="1">
      <alignment horizontal="left"/>
    </xf>
    <xf numFmtId="49" fontId="0" fillId="0" borderId="0" xfId="0" applyNumberFormat="1"/>
    <xf numFmtId="0" fontId="10" fillId="0" borderId="0" xfId="0" applyFont="1"/>
    <xf numFmtId="2" fontId="10" fillId="0" borderId="0" xfId="0" applyNumberFormat="1" applyFont="1" applyAlignment="1">
      <alignment horizontal="left"/>
    </xf>
    <xf numFmtId="49" fontId="10" fillId="0" borderId="0" xfId="0" applyNumberFormat="1" applyFont="1" applyAlignment="1">
      <alignment horizontal="left"/>
    </xf>
    <xf numFmtId="164" fontId="0" fillId="0" borderId="0" xfId="0" applyNumberFormat="1" applyAlignment="1">
      <alignment horizontal="left" vertical="center"/>
    </xf>
    <xf numFmtId="49" fontId="10" fillId="0" borderId="0" xfId="0" applyNumberFormat="1" applyFont="1"/>
    <xf numFmtId="49" fontId="0" fillId="0" borderId="0" xfId="0" applyNumberFormat="1" applyAlignment="1">
      <alignment horizontal="left"/>
    </xf>
    <xf numFmtId="0" fontId="2" fillId="0" borderId="0" xfId="0" applyFont="1" applyAlignment="1">
      <alignment horizontal="left" vertical="center"/>
    </xf>
    <xf numFmtId="1" fontId="2" fillId="0" borderId="0" xfId="0" applyNumberFormat="1" applyFont="1" applyAlignment="1">
      <alignment horizontal="left" vertical="center"/>
    </xf>
    <xf numFmtId="164" fontId="2" fillId="0" borderId="0" xfId="0" applyNumberFormat="1" applyFont="1" applyAlignment="1">
      <alignment horizontal="left" vertical="center"/>
    </xf>
    <xf numFmtId="165" fontId="2" fillId="0" borderId="0" xfId="0" applyNumberFormat="1" applyFont="1" applyAlignment="1">
      <alignment horizontal="left" vertical="center"/>
    </xf>
    <xf numFmtId="2" fontId="2" fillId="0" borderId="0" xfId="0" applyNumberFormat="1" applyFont="1" applyAlignment="1">
      <alignment horizontal="left" vertical="center"/>
    </xf>
    <xf numFmtId="1" fontId="3" fillId="0" borderId="0" xfId="0" applyNumberFormat="1" applyFont="1" applyAlignment="1">
      <alignment horizontal="left"/>
    </xf>
    <xf numFmtId="0" fontId="10" fillId="0" borderId="0" xfId="0" applyFont="1" applyAlignment="1">
      <alignment horizontal="left"/>
    </xf>
    <xf numFmtId="1" fontId="10" fillId="0" borderId="0" xfId="0" applyNumberFormat="1" applyFont="1" applyAlignment="1">
      <alignment horizontal="left"/>
    </xf>
    <xf numFmtId="165" fontId="10" fillId="0" borderId="0" xfId="0" applyNumberFormat="1" applyFont="1" applyAlignment="1">
      <alignment horizontal="left"/>
    </xf>
    <xf numFmtId="1" fontId="6" fillId="0" borderId="0" xfId="0" applyNumberFormat="1" applyFont="1" applyAlignment="1">
      <alignment horizontal="left"/>
    </xf>
    <xf numFmtId="1" fontId="4" fillId="0" borderId="0" xfId="0" applyNumberFormat="1" applyFont="1" applyAlignment="1">
      <alignment horizontal="left" vertical="center"/>
    </xf>
    <xf numFmtId="1" fontId="5" fillId="0" borderId="0" xfId="0" applyNumberFormat="1" applyFont="1" applyAlignment="1">
      <alignment horizontal="left" vertical="center"/>
    </xf>
    <xf numFmtId="0" fontId="18" fillId="0" borderId="0" xfId="0" applyFont="1" applyAlignment="1">
      <alignment vertical="center"/>
    </xf>
    <xf numFmtId="0" fontId="17" fillId="0" borderId="0" xfId="0" applyFont="1"/>
    <xf numFmtId="0" fontId="18" fillId="0" borderId="0" xfId="0" applyFont="1"/>
  </cellXfs>
  <cellStyles count="2">
    <cellStyle name="Normal" xfId="0" builtinId="0"/>
    <cellStyle name="Обычный 4" xfId="1" xr:uid="{00000000-0005-0000-0000-000001000000}"/>
  </cellStyles>
  <dxfs count="0"/>
  <tableStyles count="0" defaultTableStyle="TableStyleMedium2" defaultPivotStyle="PivotStyleLight16"/>
  <colors>
    <mruColors>
      <color rgb="FF7DD0E1"/>
      <color rgb="FFCB6EE8"/>
      <color rgb="FF6ADD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téma">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387"/>
  <sheetViews>
    <sheetView tabSelected="1" zoomScaleNormal="100" workbookViewId="0">
      <pane xSplit="1" topLeftCell="Z1" activePane="topRight" state="frozen"/>
      <selection pane="topRight" activeCell="AF333" sqref="AF333:AF338"/>
    </sheetView>
  </sheetViews>
  <sheetFormatPr defaultColWidth="0" defaultRowHeight="14.5" x14ac:dyDescent="0.35"/>
  <cols>
    <col min="1" max="1" width="15.08984375" customWidth="1"/>
    <col min="2" max="2" width="33.81640625" customWidth="1"/>
    <col min="3" max="3" width="55.54296875" customWidth="1"/>
    <col min="4" max="4" width="13.54296875" style="2" customWidth="1"/>
    <col min="5" max="5" width="29.6328125" style="2" bestFit="1" customWidth="1"/>
    <col min="6" max="6" width="22.08984375" style="2" customWidth="1"/>
    <col min="7" max="7" width="10.08984375" style="3" customWidth="1"/>
    <col min="8" max="8" width="9" style="3" bestFit="1" customWidth="1"/>
    <col min="9" max="9" width="11.08984375" style="3" customWidth="1"/>
    <col min="10" max="10" width="11.453125" style="3" customWidth="1"/>
    <col min="11" max="11" width="9.453125" style="3" bestFit="1" customWidth="1"/>
    <col min="12" max="12" width="12.08984375" style="3" customWidth="1"/>
    <col min="13" max="13" width="11.08984375" style="3" bestFit="1" customWidth="1"/>
    <col min="14" max="14" width="11.54296875" style="3" customWidth="1"/>
    <col min="15" max="15" width="8.81640625" style="5" customWidth="1"/>
    <col min="16" max="16" width="8.453125" style="5" customWidth="1"/>
    <col min="17" max="17" width="8.81640625" style="5" customWidth="1"/>
    <col min="18" max="18" width="9.81640625" style="5" customWidth="1"/>
    <col min="19" max="19" width="8.81640625" style="5" customWidth="1"/>
    <col min="20" max="20" width="9.81640625" style="5" customWidth="1"/>
    <col min="21" max="21" width="10.1796875" style="5" customWidth="1"/>
    <col min="22" max="22" width="9.81640625" style="5" customWidth="1"/>
    <col min="23" max="23" width="15.81640625" style="5" customWidth="1"/>
    <col min="24" max="24" width="12.1796875" style="2" customWidth="1"/>
    <col min="25" max="25" width="39.1796875" customWidth="1"/>
    <col min="26" max="26" width="13.81640625" style="4" customWidth="1"/>
    <col min="27" max="27" width="33.1796875" bestFit="1" customWidth="1"/>
    <col min="28" max="28" width="25.08984375" customWidth="1"/>
    <col min="29" max="29" width="24.81640625" bestFit="1" customWidth="1"/>
    <col min="30" max="31" width="14.453125" customWidth="1"/>
    <col min="32" max="32" width="22.7265625" bestFit="1" customWidth="1"/>
    <col min="33" max="33" width="18.08984375" style="6" customWidth="1"/>
    <col min="34" max="34" width="18.54296875" style="2" customWidth="1"/>
    <col min="35" max="35" width="19.81640625" style="5" bestFit="1" customWidth="1"/>
    <col min="36" max="36" width="28.08984375" style="5" customWidth="1"/>
    <col min="37" max="37" width="21.54296875" style="5" customWidth="1"/>
    <col min="38" max="39" width="8.81640625" style="5" customWidth="1"/>
    <col min="40" max="40" width="22.1796875" style="5" customWidth="1"/>
    <col min="41" max="41" width="18.08984375" style="2" customWidth="1"/>
    <col min="42" max="42" width="11.08984375" style="2" customWidth="1"/>
    <col min="43" max="43" width="11.81640625" style="2" customWidth="1"/>
    <col min="44" max="44" width="30.1796875" style="2" bestFit="1" customWidth="1"/>
    <col min="45" max="45" width="35.81640625" customWidth="1"/>
    <col min="46" max="55" width="8.81640625" customWidth="1"/>
  </cols>
  <sheetData>
    <row r="1" spans="1:46" s="28" customFormat="1" x14ac:dyDescent="0.35">
      <c r="A1" s="28" t="s">
        <v>1374</v>
      </c>
    </row>
    <row r="2" spans="1:46" s="28" customFormat="1" x14ac:dyDescent="0.35"/>
    <row r="3" spans="1:46" s="27" customFormat="1" x14ac:dyDescent="0.35">
      <c r="A3" s="27" t="s">
        <v>1372</v>
      </c>
    </row>
    <row r="4" spans="1:46" s="15" customFormat="1" ht="16.5" customHeight="1" x14ac:dyDescent="0.35">
      <c r="A4" s="15" t="s">
        <v>589</v>
      </c>
      <c r="B4" s="15" t="s">
        <v>588</v>
      </c>
      <c r="C4" s="15" t="s">
        <v>1005</v>
      </c>
      <c r="D4" s="15" t="s">
        <v>591</v>
      </c>
      <c r="E4" s="15" t="s">
        <v>590</v>
      </c>
      <c r="F4" s="15" t="s">
        <v>715</v>
      </c>
      <c r="G4" s="16" t="s">
        <v>1008</v>
      </c>
      <c r="H4" s="16" t="s">
        <v>1009</v>
      </c>
      <c r="I4" s="16" t="s">
        <v>1010</v>
      </c>
      <c r="J4" s="16" t="s">
        <v>1011</v>
      </c>
      <c r="K4" s="16" t="s">
        <v>1012</v>
      </c>
      <c r="L4" s="16" t="s">
        <v>1013</v>
      </c>
      <c r="M4" s="16" t="s">
        <v>1014</v>
      </c>
      <c r="N4" s="16" t="s">
        <v>608</v>
      </c>
      <c r="O4" s="17" t="s">
        <v>1026</v>
      </c>
      <c r="P4" s="17" t="s">
        <v>1027</v>
      </c>
      <c r="Q4" s="17" t="s">
        <v>1028</v>
      </c>
      <c r="R4" s="17" t="s">
        <v>1029</v>
      </c>
      <c r="S4" s="17" t="s">
        <v>1030</v>
      </c>
      <c r="T4" s="17" t="s">
        <v>1031</v>
      </c>
      <c r="U4" s="17" t="s">
        <v>1032</v>
      </c>
      <c r="V4" s="17" t="s">
        <v>1034</v>
      </c>
      <c r="W4" s="17" t="s">
        <v>1033</v>
      </c>
      <c r="X4" s="15" t="s">
        <v>617</v>
      </c>
      <c r="Y4" s="15" t="s">
        <v>1025</v>
      </c>
      <c r="Z4" s="18" t="s">
        <v>0</v>
      </c>
      <c r="AA4" s="15" t="s">
        <v>1</v>
      </c>
      <c r="AB4" s="15" t="s">
        <v>2</v>
      </c>
      <c r="AC4" s="15" t="s">
        <v>1379</v>
      </c>
      <c r="AD4" s="15" t="s">
        <v>3</v>
      </c>
      <c r="AE4" s="15" t="s">
        <v>1367</v>
      </c>
      <c r="AF4" s="15" t="s">
        <v>1375</v>
      </c>
      <c r="AG4" s="19" t="s">
        <v>1015</v>
      </c>
      <c r="AH4" s="15" t="s">
        <v>1016</v>
      </c>
      <c r="AI4" s="17" t="s">
        <v>1017</v>
      </c>
      <c r="AJ4" s="17" t="s">
        <v>1018</v>
      </c>
      <c r="AK4" s="17" t="s">
        <v>1019</v>
      </c>
      <c r="AL4" s="17" t="s">
        <v>4</v>
      </c>
      <c r="AM4" s="17" t="s">
        <v>1020</v>
      </c>
      <c r="AN4" s="17" t="s">
        <v>1021</v>
      </c>
      <c r="AO4" s="15" t="s">
        <v>1022</v>
      </c>
      <c r="AP4" s="15" t="s">
        <v>1023</v>
      </c>
      <c r="AQ4" s="15" t="s">
        <v>1024</v>
      </c>
      <c r="AR4" s="15" t="s">
        <v>1369</v>
      </c>
      <c r="AS4" s="15" t="s">
        <v>720</v>
      </c>
      <c r="AT4" s="15" t="s">
        <v>606</v>
      </c>
    </row>
    <row r="5" spans="1:46" x14ac:dyDescent="0.35">
      <c r="A5" t="s">
        <v>182</v>
      </c>
      <c r="B5" t="s">
        <v>827</v>
      </c>
      <c r="C5" t="s">
        <v>972</v>
      </c>
      <c r="D5" s="2" t="s">
        <v>592</v>
      </c>
      <c r="E5" s="2" t="s">
        <v>1368</v>
      </c>
      <c r="F5" s="2" t="s">
        <v>716</v>
      </c>
      <c r="G5" s="3">
        <v>2068</v>
      </c>
      <c r="H5" s="3">
        <v>121</v>
      </c>
      <c r="I5" s="3">
        <v>8</v>
      </c>
      <c r="J5" s="3">
        <v>101</v>
      </c>
      <c r="K5" s="3">
        <v>1148</v>
      </c>
      <c r="L5" s="3">
        <v>500</v>
      </c>
      <c r="M5" s="3">
        <v>3552</v>
      </c>
      <c r="N5" s="3">
        <v>212</v>
      </c>
      <c r="O5" s="5">
        <v>88.4</v>
      </c>
      <c r="P5" s="5">
        <v>3</v>
      </c>
      <c r="Q5" s="5">
        <v>0.4</v>
      </c>
      <c r="R5" s="5">
        <v>8.1999999999999993</v>
      </c>
      <c r="S5" s="5">
        <v>30</v>
      </c>
      <c r="T5" s="5">
        <v>9.6</v>
      </c>
      <c r="U5" s="5">
        <v>53.9</v>
      </c>
      <c r="V5" s="5">
        <v>6.5</v>
      </c>
      <c r="W5" s="5">
        <f t="shared" ref="W5:W20" si="0">SUM(U5:V5)</f>
        <v>60.4</v>
      </c>
      <c r="X5" s="2">
        <v>-3</v>
      </c>
      <c r="Y5" t="s">
        <v>616</v>
      </c>
      <c r="Z5" s="4">
        <v>40924</v>
      </c>
      <c r="AA5" t="s">
        <v>183</v>
      </c>
      <c r="AB5" t="s">
        <v>184</v>
      </c>
      <c r="AC5" t="s">
        <v>1326</v>
      </c>
      <c r="AD5" t="s">
        <v>849</v>
      </c>
      <c r="AE5" t="s">
        <v>1365</v>
      </c>
      <c r="AF5" t="s">
        <v>1376</v>
      </c>
      <c r="AG5" s="6" t="s">
        <v>443</v>
      </c>
      <c r="AH5" s="2">
        <v>0.01</v>
      </c>
      <c r="AI5" s="5" t="s">
        <v>443</v>
      </c>
      <c r="AJ5" s="5" t="s">
        <v>443</v>
      </c>
      <c r="AK5" s="5" t="s">
        <v>443</v>
      </c>
      <c r="AL5" s="5" t="s">
        <v>443</v>
      </c>
      <c r="AM5" s="5">
        <v>0.5</v>
      </c>
      <c r="AN5" s="5" t="s">
        <v>443</v>
      </c>
      <c r="AO5" s="5" t="s">
        <v>443</v>
      </c>
      <c r="AP5" s="5" t="s">
        <v>443</v>
      </c>
      <c r="AQ5" s="5" t="s">
        <v>443</v>
      </c>
      <c r="AR5" s="2" t="s">
        <v>1370</v>
      </c>
      <c r="AS5" t="s">
        <v>1326</v>
      </c>
    </row>
    <row r="6" spans="1:46" x14ac:dyDescent="0.35">
      <c r="A6" t="s">
        <v>187</v>
      </c>
      <c r="B6" t="s">
        <v>188</v>
      </c>
      <c r="C6" t="s">
        <v>972</v>
      </c>
      <c r="D6" s="2" t="s">
        <v>592</v>
      </c>
      <c r="E6" s="2" t="s">
        <v>1368</v>
      </c>
      <c r="F6" s="2" t="s">
        <v>716</v>
      </c>
      <c r="G6" s="3">
        <v>584</v>
      </c>
      <c r="H6" s="3">
        <v>18</v>
      </c>
      <c r="I6" s="3">
        <v>14</v>
      </c>
      <c r="J6" s="3">
        <v>77</v>
      </c>
      <c r="K6" s="3">
        <v>149</v>
      </c>
      <c r="L6" s="3">
        <v>87</v>
      </c>
      <c r="M6" s="3">
        <v>1438</v>
      </c>
      <c r="N6" s="3">
        <v>87</v>
      </c>
      <c r="O6" s="5">
        <v>77.2</v>
      </c>
      <c r="P6" s="5">
        <v>1.4</v>
      </c>
      <c r="Q6" s="5">
        <v>2.1</v>
      </c>
      <c r="R6" s="5">
        <v>19.3</v>
      </c>
      <c r="S6" s="5">
        <v>12.9</v>
      </c>
      <c r="T6" s="5">
        <v>5.6</v>
      </c>
      <c r="U6" s="5">
        <v>72.599999999999994</v>
      </c>
      <c r="V6" s="5">
        <v>8.9</v>
      </c>
      <c r="W6" s="5">
        <f t="shared" si="0"/>
        <v>81.5</v>
      </c>
      <c r="X6" s="3">
        <v>0.63971876903708236</v>
      </c>
      <c r="Y6" t="s">
        <v>616</v>
      </c>
      <c r="Z6" s="4">
        <v>40924</v>
      </c>
      <c r="AA6" t="s">
        <v>183</v>
      </c>
      <c r="AB6" t="s">
        <v>189</v>
      </c>
      <c r="AC6" t="s">
        <v>1326</v>
      </c>
      <c r="AD6" t="s">
        <v>846</v>
      </c>
      <c r="AE6" t="s">
        <v>1365</v>
      </c>
      <c r="AF6" t="s">
        <v>1376</v>
      </c>
      <c r="AG6" s="6" t="s">
        <v>443</v>
      </c>
      <c r="AH6" s="2">
        <v>0.01</v>
      </c>
      <c r="AI6" s="5" t="s">
        <v>443</v>
      </c>
      <c r="AJ6" s="5" t="s">
        <v>443</v>
      </c>
      <c r="AK6" s="5" t="s">
        <v>443</v>
      </c>
      <c r="AL6" s="5" t="s">
        <v>443</v>
      </c>
      <c r="AM6" s="5">
        <v>0.5</v>
      </c>
      <c r="AN6" s="5" t="s">
        <v>443</v>
      </c>
      <c r="AO6" s="5" t="s">
        <v>443</v>
      </c>
      <c r="AP6" s="5" t="s">
        <v>443</v>
      </c>
      <c r="AQ6" s="5" t="s">
        <v>443</v>
      </c>
      <c r="AR6" s="2" t="s">
        <v>1370</v>
      </c>
      <c r="AS6" t="s">
        <v>1326</v>
      </c>
    </row>
    <row r="7" spans="1:46" x14ac:dyDescent="0.35">
      <c r="A7" t="s">
        <v>192</v>
      </c>
      <c r="B7" t="s">
        <v>193</v>
      </c>
      <c r="C7" t="s">
        <v>972</v>
      </c>
      <c r="D7" s="2" t="s">
        <v>592</v>
      </c>
      <c r="E7" s="2" t="s">
        <v>1368</v>
      </c>
      <c r="F7" s="2" t="s">
        <v>716</v>
      </c>
      <c r="G7" s="3">
        <v>1257</v>
      </c>
      <c r="H7" s="3">
        <v>69</v>
      </c>
      <c r="I7" s="3">
        <v>15</v>
      </c>
      <c r="J7" s="3">
        <v>89</v>
      </c>
      <c r="K7" s="3">
        <v>551</v>
      </c>
      <c r="L7" s="3">
        <v>1036</v>
      </c>
      <c r="M7" s="3">
        <v>1755</v>
      </c>
      <c r="N7" s="3">
        <v>128</v>
      </c>
      <c r="O7" s="5">
        <v>84.8</v>
      </c>
      <c r="P7" s="5">
        <v>2.7</v>
      </c>
      <c r="Q7" s="5">
        <v>1.2</v>
      </c>
      <c r="R7" s="5">
        <v>11.4</v>
      </c>
      <c r="S7" s="5">
        <v>22.2</v>
      </c>
      <c r="T7" s="5">
        <v>30.8</v>
      </c>
      <c r="U7" s="5">
        <v>41</v>
      </c>
      <c r="V7" s="5">
        <v>6.1</v>
      </c>
      <c r="W7" s="5">
        <f t="shared" si="0"/>
        <v>47.1</v>
      </c>
      <c r="X7" s="3">
        <v>-4.1783426398979353</v>
      </c>
      <c r="Y7" t="s">
        <v>616</v>
      </c>
      <c r="Z7" s="4">
        <v>40924</v>
      </c>
      <c r="AA7" t="s">
        <v>183</v>
      </c>
      <c r="AB7" t="s">
        <v>194</v>
      </c>
      <c r="AC7" t="s">
        <v>1326</v>
      </c>
      <c r="AD7" t="s">
        <v>843</v>
      </c>
      <c r="AE7" t="s">
        <v>1365</v>
      </c>
      <c r="AF7" t="s">
        <v>1376</v>
      </c>
      <c r="AG7" s="6" t="s">
        <v>443</v>
      </c>
      <c r="AH7" s="2">
        <v>0.01</v>
      </c>
      <c r="AI7" s="5">
        <v>12.9</v>
      </c>
      <c r="AJ7" s="5">
        <v>10.3</v>
      </c>
      <c r="AK7" s="5" t="s">
        <v>443</v>
      </c>
      <c r="AL7" s="5">
        <v>9.5</v>
      </c>
      <c r="AM7" s="5">
        <v>0.6</v>
      </c>
      <c r="AN7" s="5" t="s">
        <v>443</v>
      </c>
      <c r="AO7" s="2">
        <v>193.9</v>
      </c>
      <c r="AP7" s="5" t="s">
        <v>443</v>
      </c>
      <c r="AQ7" s="5" t="s">
        <v>443</v>
      </c>
      <c r="AR7" s="2" t="s">
        <v>1370</v>
      </c>
      <c r="AS7" t="s">
        <v>1326</v>
      </c>
    </row>
    <row r="8" spans="1:46" x14ac:dyDescent="0.35">
      <c r="A8" t="s">
        <v>185</v>
      </c>
      <c r="B8" t="s">
        <v>827</v>
      </c>
      <c r="C8" t="s">
        <v>972</v>
      </c>
      <c r="D8" s="2" t="s">
        <v>592</v>
      </c>
      <c r="E8" s="2" t="s">
        <v>1368</v>
      </c>
      <c r="F8" s="2" t="s">
        <v>716</v>
      </c>
      <c r="G8" s="3">
        <v>2068</v>
      </c>
      <c r="H8" s="3">
        <v>121</v>
      </c>
      <c r="I8" s="3">
        <v>8</v>
      </c>
      <c r="J8" s="3">
        <v>101</v>
      </c>
      <c r="K8" s="3">
        <v>1148</v>
      </c>
      <c r="L8" s="3">
        <v>500</v>
      </c>
      <c r="M8" s="3">
        <v>3552</v>
      </c>
      <c r="N8" s="3">
        <v>212</v>
      </c>
      <c r="O8" s="5">
        <v>88.4</v>
      </c>
      <c r="P8" s="5">
        <v>3</v>
      </c>
      <c r="Q8" s="5">
        <v>0.4</v>
      </c>
      <c r="R8" s="5">
        <v>8.1999999999999993</v>
      </c>
      <c r="S8" s="5">
        <v>30</v>
      </c>
      <c r="T8" s="5">
        <v>9.6</v>
      </c>
      <c r="U8" s="5">
        <v>53.9</v>
      </c>
      <c r="V8" s="5">
        <v>6.5</v>
      </c>
      <c r="W8" s="5">
        <f t="shared" si="0"/>
        <v>60.4</v>
      </c>
      <c r="X8" s="2">
        <v>-3</v>
      </c>
      <c r="Y8" t="s">
        <v>616</v>
      </c>
      <c r="Z8" s="4">
        <v>40945</v>
      </c>
      <c r="AA8" t="s">
        <v>183</v>
      </c>
      <c r="AB8" t="s">
        <v>184</v>
      </c>
      <c r="AC8" t="s">
        <v>1326</v>
      </c>
      <c r="AD8" t="s">
        <v>848</v>
      </c>
      <c r="AE8" t="s">
        <v>1365</v>
      </c>
      <c r="AF8" t="s">
        <v>1376</v>
      </c>
      <c r="AG8" s="6" t="s">
        <v>443</v>
      </c>
      <c r="AH8" s="2">
        <v>0.01</v>
      </c>
      <c r="AI8" s="5" t="s">
        <v>443</v>
      </c>
      <c r="AJ8" s="5" t="s">
        <v>443</v>
      </c>
      <c r="AK8" s="5" t="s">
        <v>443</v>
      </c>
      <c r="AL8" s="5" t="s">
        <v>443</v>
      </c>
      <c r="AM8" s="5">
        <v>0</v>
      </c>
      <c r="AN8" s="5" t="s">
        <v>443</v>
      </c>
      <c r="AO8" s="5" t="s">
        <v>443</v>
      </c>
      <c r="AP8" s="5" t="s">
        <v>443</v>
      </c>
      <c r="AQ8" s="5" t="s">
        <v>443</v>
      </c>
      <c r="AR8" s="2" t="s">
        <v>1370</v>
      </c>
      <c r="AS8" t="s">
        <v>1326</v>
      </c>
    </row>
    <row r="9" spans="1:46" x14ac:dyDescent="0.35">
      <c r="A9" t="s">
        <v>190</v>
      </c>
      <c r="B9" t="s">
        <v>188</v>
      </c>
      <c r="C9" t="s">
        <v>972</v>
      </c>
      <c r="D9" s="2" t="s">
        <v>592</v>
      </c>
      <c r="E9" s="2" t="s">
        <v>1368</v>
      </c>
      <c r="F9" s="2" t="s">
        <v>716</v>
      </c>
      <c r="G9" s="3">
        <v>584</v>
      </c>
      <c r="H9" s="3">
        <v>18</v>
      </c>
      <c r="I9" s="3">
        <v>14</v>
      </c>
      <c r="J9" s="3">
        <v>77</v>
      </c>
      <c r="K9" s="3">
        <v>149</v>
      </c>
      <c r="L9" s="3">
        <v>87</v>
      </c>
      <c r="M9" s="3">
        <v>1438</v>
      </c>
      <c r="N9" s="3">
        <v>87</v>
      </c>
      <c r="O9" s="5">
        <v>77.2</v>
      </c>
      <c r="P9" s="5">
        <v>1.4</v>
      </c>
      <c r="Q9" s="5">
        <v>2.1</v>
      </c>
      <c r="R9" s="5">
        <v>19.3</v>
      </c>
      <c r="S9" s="5">
        <v>12.9</v>
      </c>
      <c r="T9" s="5">
        <v>5.6</v>
      </c>
      <c r="U9" s="5">
        <v>72.599999999999994</v>
      </c>
      <c r="V9" s="5">
        <v>8.9</v>
      </c>
      <c r="W9" s="5">
        <f t="shared" si="0"/>
        <v>81.5</v>
      </c>
      <c r="X9" s="3">
        <v>0.63971876903708236</v>
      </c>
      <c r="Y9" t="s">
        <v>616</v>
      </c>
      <c r="Z9" s="4">
        <v>40945</v>
      </c>
      <c r="AA9" t="s">
        <v>183</v>
      </c>
      <c r="AB9" t="s">
        <v>189</v>
      </c>
      <c r="AC9" t="s">
        <v>1326</v>
      </c>
      <c r="AD9" t="s">
        <v>845</v>
      </c>
      <c r="AE9" t="s">
        <v>1365</v>
      </c>
      <c r="AF9" t="s">
        <v>1376</v>
      </c>
      <c r="AG9" s="6" t="s">
        <v>443</v>
      </c>
      <c r="AH9" s="2">
        <v>0.01</v>
      </c>
      <c r="AI9" s="5" t="s">
        <v>443</v>
      </c>
      <c r="AJ9" s="5" t="s">
        <v>443</v>
      </c>
      <c r="AK9" s="5" t="s">
        <v>443</v>
      </c>
      <c r="AL9" s="5" t="s">
        <v>443</v>
      </c>
      <c r="AM9" s="5">
        <v>0</v>
      </c>
      <c r="AN9" s="5" t="s">
        <v>443</v>
      </c>
      <c r="AO9" s="5" t="s">
        <v>443</v>
      </c>
      <c r="AP9" s="5" t="s">
        <v>443</v>
      </c>
      <c r="AQ9" s="5" t="s">
        <v>443</v>
      </c>
      <c r="AR9" s="2" t="s">
        <v>1370</v>
      </c>
      <c r="AS9" t="s">
        <v>1326</v>
      </c>
    </row>
    <row r="10" spans="1:46" x14ac:dyDescent="0.35">
      <c r="A10" t="s">
        <v>195</v>
      </c>
      <c r="B10" t="s">
        <v>193</v>
      </c>
      <c r="C10" t="s">
        <v>972</v>
      </c>
      <c r="D10" s="2" t="s">
        <v>592</v>
      </c>
      <c r="E10" s="2" t="s">
        <v>1368</v>
      </c>
      <c r="F10" s="2" t="s">
        <v>716</v>
      </c>
      <c r="G10" s="3">
        <v>1257</v>
      </c>
      <c r="H10" s="3">
        <v>69</v>
      </c>
      <c r="I10" s="3">
        <v>15</v>
      </c>
      <c r="J10" s="3">
        <v>89</v>
      </c>
      <c r="K10" s="3">
        <v>551</v>
      </c>
      <c r="L10" s="3">
        <v>1036</v>
      </c>
      <c r="M10" s="3">
        <v>1755</v>
      </c>
      <c r="N10" s="3">
        <v>128</v>
      </c>
      <c r="O10" s="5">
        <v>84.8</v>
      </c>
      <c r="P10" s="5">
        <v>2.7</v>
      </c>
      <c r="Q10" s="5">
        <v>1.2</v>
      </c>
      <c r="R10" s="5">
        <v>11.4</v>
      </c>
      <c r="S10" s="5">
        <v>22.2</v>
      </c>
      <c r="T10" s="5">
        <v>30.8</v>
      </c>
      <c r="U10" s="5">
        <v>41</v>
      </c>
      <c r="V10" s="5">
        <v>6.1</v>
      </c>
      <c r="W10" s="5">
        <f t="shared" si="0"/>
        <v>47.1</v>
      </c>
      <c r="X10" s="3">
        <v>-4.1783426398979353</v>
      </c>
      <c r="Y10" t="s">
        <v>616</v>
      </c>
      <c r="Z10" s="4">
        <v>40945</v>
      </c>
      <c r="AA10" t="s">
        <v>183</v>
      </c>
      <c r="AB10" t="s">
        <v>194</v>
      </c>
      <c r="AC10" t="s">
        <v>1326</v>
      </c>
      <c r="AD10" t="s">
        <v>842</v>
      </c>
      <c r="AE10" t="s">
        <v>1365</v>
      </c>
      <c r="AF10" t="s">
        <v>1376</v>
      </c>
      <c r="AG10" s="6" t="s">
        <v>443</v>
      </c>
      <c r="AH10" s="2">
        <v>0.01</v>
      </c>
      <c r="AI10" s="5" t="s">
        <v>443</v>
      </c>
      <c r="AJ10" s="5" t="s">
        <v>443</v>
      </c>
      <c r="AK10" s="5" t="s">
        <v>443</v>
      </c>
      <c r="AL10" s="5" t="s">
        <v>443</v>
      </c>
      <c r="AM10" s="5">
        <v>0</v>
      </c>
      <c r="AN10" s="5" t="s">
        <v>443</v>
      </c>
      <c r="AO10" s="5" t="s">
        <v>443</v>
      </c>
      <c r="AP10" s="5" t="s">
        <v>443</v>
      </c>
      <c r="AQ10" s="5" t="s">
        <v>443</v>
      </c>
      <c r="AR10" s="2" t="s">
        <v>1370</v>
      </c>
      <c r="AS10" t="s">
        <v>1326</v>
      </c>
    </row>
    <row r="11" spans="1:46" x14ac:dyDescent="0.35">
      <c r="A11" t="s">
        <v>186</v>
      </c>
      <c r="B11" t="s">
        <v>827</v>
      </c>
      <c r="C11" t="s">
        <v>972</v>
      </c>
      <c r="D11" s="2" t="s">
        <v>592</v>
      </c>
      <c r="E11" s="2" t="s">
        <v>1368</v>
      </c>
      <c r="F11" s="2" t="s">
        <v>716</v>
      </c>
      <c r="G11" s="3">
        <v>2068</v>
      </c>
      <c r="H11" s="3">
        <v>121</v>
      </c>
      <c r="I11" s="3">
        <v>8</v>
      </c>
      <c r="J11" s="3">
        <v>101</v>
      </c>
      <c r="K11" s="3">
        <v>1148</v>
      </c>
      <c r="L11" s="3">
        <v>500</v>
      </c>
      <c r="M11" s="3">
        <v>3552</v>
      </c>
      <c r="N11" s="3">
        <v>212</v>
      </c>
      <c r="O11" s="5">
        <v>88.4</v>
      </c>
      <c r="P11" s="5">
        <v>3</v>
      </c>
      <c r="Q11" s="5">
        <v>0.4</v>
      </c>
      <c r="R11" s="5">
        <v>8.1999999999999993</v>
      </c>
      <c r="S11" s="5">
        <v>30</v>
      </c>
      <c r="T11" s="5">
        <v>9.6</v>
      </c>
      <c r="U11" s="5">
        <v>53.9</v>
      </c>
      <c r="V11" s="5">
        <v>6.5</v>
      </c>
      <c r="W11" s="5">
        <f t="shared" si="0"/>
        <v>60.4</v>
      </c>
      <c r="X11" s="2">
        <v>-3</v>
      </c>
      <c r="Y11" t="s">
        <v>616</v>
      </c>
      <c r="Z11" s="4">
        <v>40990</v>
      </c>
      <c r="AA11" t="s">
        <v>183</v>
      </c>
      <c r="AB11" t="s">
        <v>184</v>
      </c>
      <c r="AC11" t="s">
        <v>1326</v>
      </c>
      <c r="AD11" t="s">
        <v>847</v>
      </c>
      <c r="AE11" t="s">
        <v>1365</v>
      </c>
      <c r="AF11" t="s">
        <v>1376</v>
      </c>
      <c r="AG11" s="6" t="s">
        <v>443</v>
      </c>
      <c r="AH11" s="2">
        <v>0.01</v>
      </c>
      <c r="AI11" s="5" t="s">
        <v>443</v>
      </c>
      <c r="AJ11" s="5" t="s">
        <v>443</v>
      </c>
      <c r="AK11" s="5" t="s">
        <v>443</v>
      </c>
      <c r="AL11" s="5" t="s">
        <v>443</v>
      </c>
      <c r="AM11" s="5">
        <v>8.5</v>
      </c>
      <c r="AN11" s="5" t="s">
        <v>443</v>
      </c>
      <c r="AO11" s="5" t="s">
        <v>443</v>
      </c>
      <c r="AP11" s="5" t="s">
        <v>443</v>
      </c>
      <c r="AQ11" s="5" t="s">
        <v>443</v>
      </c>
      <c r="AR11" s="2" t="s">
        <v>1370</v>
      </c>
      <c r="AS11" t="s">
        <v>1326</v>
      </c>
    </row>
    <row r="12" spans="1:46" s="9" customFormat="1" x14ac:dyDescent="0.35">
      <c r="A12" t="s">
        <v>191</v>
      </c>
      <c r="B12" t="s">
        <v>188</v>
      </c>
      <c r="C12" t="s">
        <v>972</v>
      </c>
      <c r="D12" s="2" t="s">
        <v>592</v>
      </c>
      <c r="E12" s="2" t="s">
        <v>1368</v>
      </c>
      <c r="F12" s="2" t="s">
        <v>716</v>
      </c>
      <c r="G12" s="3">
        <v>584</v>
      </c>
      <c r="H12" s="3">
        <v>18</v>
      </c>
      <c r="I12" s="3">
        <v>14</v>
      </c>
      <c r="J12" s="3">
        <v>77</v>
      </c>
      <c r="K12" s="3">
        <v>149</v>
      </c>
      <c r="L12" s="3">
        <v>87</v>
      </c>
      <c r="M12" s="3">
        <v>1438</v>
      </c>
      <c r="N12" s="3">
        <v>87</v>
      </c>
      <c r="O12" s="5">
        <v>77.2</v>
      </c>
      <c r="P12" s="5">
        <v>1.4</v>
      </c>
      <c r="Q12" s="5">
        <v>2.1</v>
      </c>
      <c r="R12" s="5">
        <v>19.3</v>
      </c>
      <c r="S12" s="5">
        <v>12.9</v>
      </c>
      <c r="T12" s="5">
        <v>5.6</v>
      </c>
      <c r="U12" s="5">
        <v>72.599999999999994</v>
      </c>
      <c r="V12" s="5">
        <v>8.9</v>
      </c>
      <c r="W12" s="5">
        <f t="shared" si="0"/>
        <v>81.5</v>
      </c>
      <c r="X12" s="3">
        <v>0.63971876903708236</v>
      </c>
      <c r="Y12" t="s">
        <v>616</v>
      </c>
      <c r="Z12" s="4">
        <v>40990</v>
      </c>
      <c r="AA12" t="s">
        <v>183</v>
      </c>
      <c r="AB12" t="s">
        <v>189</v>
      </c>
      <c r="AC12" t="s">
        <v>1326</v>
      </c>
      <c r="AD12" t="s">
        <v>844</v>
      </c>
      <c r="AE12" t="s">
        <v>1365</v>
      </c>
      <c r="AF12" t="s">
        <v>1376</v>
      </c>
      <c r="AG12" s="6" t="s">
        <v>443</v>
      </c>
      <c r="AH12" s="2">
        <v>0.01</v>
      </c>
      <c r="AI12" s="5" t="s">
        <v>443</v>
      </c>
      <c r="AJ12" s="5" t="s">
        <v>443</v>
      </c>
      <c r="AK12" s="5" t="s">
        <v>443</v>
      </c>
      <c r="AL12" s="5" t="s">
        <v>443</v>
      </c>
      <c r="AM12" s="5">
        <v>8.5</v>
      </c>
      <c r="AN12" s="5" t="s">
        <v>443</v>
      </c>
      <c r="AO12" s="5" t="s">
        <v>443</v>
      </c>
      <c r="AP12" s="5" t="s">
        <v>443</v>
      </c>
      <c r="AQ12" s="5" t="s">
        <v>443</v>
      </c>
      <c r="AR12" s="2" t="s">
        <v>1370</v>
      </c>
      <c r="AS12" t="s">
        <v>1326</v>
      </c>
      <c r="AT12"/>
    </row>
    <row r="13" spans="1:46" x14ac:dyDescent="0.35">
      <c r="A13" t="s">
        <v>196</v>
      </c>
      <c r="B13" t="s">
        <v>193</v>
      </c>
      <c r="C13" t="s">
        <v>972</v>
      </c>
      <c r="D13" s="2" t="s">
        <v>592</v>
      </c>
      <c r="E13" s="2" t="s">
        <v>1368</v>
      </c>
      <c r="F13" s="2" t="s">
        <v>716</v>
      </c>
      <c r="G13" s="3">
        <v>1257</v>
      </c>
      <c r="H13" s="3">
        <v>69</v>
      </c>
      <c r="I13" s="3">
        <v>15</v>
      </c>
      <c r="J13" s="3">
        <v>89</v>
      </c>
      <c r="K13" s="3">
        <v>551</v>
      </c>
      <c r="L13" s="3">
        <v>1036</v>
      </c>
      <c r="M13" s="3">
        <v>1755</v>
      </c>
      <c r="N13" s="3">
        <v>128</v>
      </c>
      <c r="O13" s="5">
        <v>84.8</v>
      </c>
      <c r="P13" s="5">
        <v>2.7</v>
      </c>
      <c r="Q13" s="5">
        <v>1.2</v>
      </c>
      <c r="R13" s="5">
        <v>11.4</v>
      </c>
      <c r="S13" s="5">
        <v>22.2</v>
      </c>
      <c r="T13" s="5">
        <v>30.8</v>
      </c>
      <c r="U13" s="5">
        <v>41</v>
      </c>
      <c r="V13" s="5">
        <v>6.1</v>
      </c>
      <c r="W13" s="5">
        <f t="shared" si="0"/>
        <v>47.1</v>
      </c>
      <c r="X13" s="3">
        <v>-4.1783426398979353</v>
      </c>
      <c r="Y13" t="s">
        <v>616</v>
      </c>
      <c r="Z13" s="4">
        <v>40990</v>
      </c>
      <c r="AA13" t="s">
        <v>183</v>
      </c>
      <c r="AB13" t="s">
        <v>194</v>
      </c>
      <c r="AC13" t="s">
        <v>1326</v>
      </c>
      <c r="AD13" t="s">
        <v>841</v>
      </c>
      <c r="AE13" t="s">
        <v>1365</v>
      </c>
      <c r="AF13" t="s">
        <v>1376</v>
      </c>
      <c r="AG13" s="6" t="s">
        <v>443</v>
      </c>
      <c r="AH13" s="2">
        <v>0.01</v>
      </c>
      <c r="AI13" s="5">
        <v>9</v>
      </c>
      <c r="AJ13" s="5">
        <v>7.2</v>
      </c>
      <c r="AK13" s="5" t="s">
        <v>443</v>
      </c>
      <c r="AL13" s="5">
        <v>9.6</v>
      </c>
      <c r="AM13" s="5">
        <v>8.9</v>
      </c>
      <c r="AN13" s="5" t="s">
        <v>443</v>
      </c>
      <c r="AO13" s="2">
        <v>299.2</v>
      </c>
      <c r="AP13" s="5" t="s">
        <v>443</v>
      </c>
      <c r="AQ13" s="5" t="s">
        <v>443</v>
      </c>
      <c r="AR13" s="2" t="s">
        <v>1370</v>
      </c>
      <c r="AS13" t="s">
        <v>1326</v>
      </c>
    </row>
    <row r="14" spans="1:46" x14ac:dyDescent="0.35">
      <c r="A14" t="s">
        <v>5</v>
      </c>
      <c r="B14" t="s">
        <v>971</v>
      </c>
      <c r="C14" t="s">
        <v>972</v>
      </c>
      <c r="D14" s="2" t="s">
        <v>592</v>
      </c>
      <c r="E14" s="2" t="s">
        <v>1368</v>
      </c>
      <c r="F14" s="2" t="s">
        <v>716</v>
      </c>
      <c r="G14" s="3">
        <v>1380</v>
      </c>
      <c r="H14" s="3">
        <v>12</v>
      </c>
      <c r="I14" s="3">
        <v>12</v>
      </c>
      <c r="J14" s="3">
        <v>12</v>
      </c>
      <c r="K14" s="3">
        <v>415</v>
      </c>
      <c r="L14" s="3">
        <v>150</v>
      </c>
      <c r="M14" s="3">
        <v>2003</v>
      </c>
      <c r="N14" s="3">
        <v>260</v>
      </c>
      <c r="O14" s="5">
        <v>96.9</v>
      </c>
      <c r="P14" s="5">
        <v>0.5</v>
      </c>
      <c r="Q14" s="5">
        <v>1</v>
      </c>
      <c r="R14" s="5">
        <v>1.6</v>
      </c>
      <c r="S14" s="5">
        <v>20.8</v>
      </c>
      <c r="T14" s="5">
        <v>5.5</v>
      </c>
      <c r="U14" s="5">
        <v>58.3</v>
      </c>
      <c r="V14" s="5">
        <v>15.4</v>
      </c>
      <c r="W14" s="5">
        <f t="shared" si="0"/>
        <v>73.7</v>
      </c>
      <c r="X14" s="3">
        <v>4.7342362723747042</v>
      </c>
      <c r="Y14" t="s">
        <v>616</v>
      </c>
      <c r="Z14" s="4">
        <v>41242</v>
      </c>
      <c r="AA14" t="s">
        <v>6</v>
      </c>
      <c r="AB14" t="s">
        <v>7</v>
      </c>
      <c r="AC14" t="s">
        <v>1321</v>
      </c>
      <c r="AD14" t="s">
        <v>1377</v>
      </c>
      <c r="AE14" t="s">
        <v>1365</v>
      </c>
      <c r="AF14" t="s">
        <v>1376</v>
      </c>
      <c r="AG14" s="6">
        <v>0.02</v>
      </c>
      <c r="AH14" s="2">
        <v>0.01</v>
      </c>
      <c r="AI14" s="5">
        <v>4.5999999999999996</v>
      </c>
      <c r="AJ14" s="5">
        <v>3.7</v>
      </c>
      <c r="AK14" s="5" t="s">
        <v>443</v>
      </c>
      <c r="AL14" s="5">
        <v>9.1999999999999993</v>
      </c>
      <c r="AM14" s="5">
        <v>14.7</v>
      </c>
      <c r="AN14" s="5" t="s">
        <v>443</v>
      </c>
      <c r="AO14" s="2">
        <v>59.6</v>
      </c>
      <c r="AP14" s="2" t="s">
        <v>443</v>
      </c>
      <c r="AQ14" s="2">
        <v>48</v>
      </c>
      <c r="AR14" s="2" t="s">
        <v>1370</v>
      </c>
      <c r="AS14" t="s">
        <v>1321</v>
      </c>
    </row>
    <row r="15" spans="1:46" x14ac:dyDescent="0.35">
      <c r="A15" t="s">
        <v>9</v>
      </c>
      <c r="B15" t="s">
        <v>973</v>
      </c>
      <c r="C15" t="s">
        <v>972</v>
      </c>
      <c r="D15" s="2" t="s">
        <v>592</v>
      </c>
      <c r="E15" s="2" t="s">
        <v>1368</v>
      </c>
      <c r="F15" s="2" t="s">
        <v>716</v>
      </c>
      <c r="G15" s="3">
        <v>914</v>
      </c>
      <c r="H15" s="3">
        <v>0</v>
      </c>
      <c r="I15" s="3">
        <v>8</v>
      </c>
      <c r="J15" s="3">
        <v>9</v>
      </c>
      <c r="K15" s="3">
        <v>505</v>
      </c>
      <c r="L15" s="3">
        <v>157</v>
      </c>
      <c r="M15" s="3">
        <v>1213</v>
      </c>
      <c r="N15" s="3">
        <v>73</v>
      </c>
      <c r="O15" s="5">
        <v>97.3</v>
      </c>
      <c r="P15" s="5">
        <v>0</v>
      </c>
      <c r="Q15" s="5">
        <v>0.9</v>
      </c>
      <c r="R15" s="5">
        <v>1.8</v>
      </c>
      <c r="S15" s="5">
        <v>35.799999999999997</v>
      </c>
      <c r="T15" s="5">
        <v>8.1999999999999993</v>
      </c>
      <c r="U15" s="5">
        <v>49.9</v>
      </c>
      <c r="V15" s="5">
        <v>6.1</v>
      </c>
      <c r="W15" s="5">
        <f t="shared" si="0"/>
        <v>56</v>
      </c>
      <c r="X15" s="2">
        <v>1</v>
      </c>
      <c r="Y15" t="s">
        <v>609</v>
      </c>
      <c r="Z15" s="4">
        <v>41242</v>
      </c>
      <c r="AA15" t="s">
        <v>10</v>
      </c>
      <c r="AB15" t="s">
        <v>11</v>
      </c>
      <c r="AC15" t="s">
        <v>1321</v>
      </c>
      <c r="AD15" t="s">
        <v>743</v>
      </c>
      <c r="AE15" t="s">
        <v>1365</v>
      </c>
      <c r="AF15" t="s">
        <v>1376</v>
      </c>
      <c r="AG15" s="6">
        <v>0.25</v>
      </c>
      <c r="AH15" s="2">
        <v>0.05</v>
      </c>
      <c r="AI15" s="5">
        <v>13.3</v>
      </c>
      <c r="AJ15" s="5">
        <v>10.6</v>
      </c>
      <c r="AK15" s="5" t="s">
        <v>443</v>
      </c>
      <c r="AL15" s="5">
        <v>9.1999999999999993</v>
      </c>
      <c r="AM15" s="5">
        <v>13.3</v>
      </c>
      <c r="AN15" s="5" t="s">
        <v>443</v>
      </c>
      <c r="AO15" s="2">
        <v>20.8</v>
      </c>
      <c r="AP15" s="2" t="s">
        <v>443</v>
      </c>
      <c r="AQ15" s="2">
        <v>814</v>
      </c>
      <c r="AR15" s="2" t="s">
        <v>1370</v>
      </c>
      <c r="AS15" t="s">
        <v>1321</v>
      </c>
    </row>
    <row r="16" spans="1:46" x14ac:dyDescent="0.35">
      <c r="A16" t="s">
        <v>12</v>
      </c>
      <c r="B16" t="s">
        <v>974</v>
      </c>
      <c r="C16" t="s">
        <v>972</v>
      </c>
      <c r="D16" s="2" t="s">
        <v>592</v>
      </c>
      <c r="E16" s="2" t="s">
        <v>1368</v>
      </c>
      <c r="F16" s="2" t="s">
        <v>716</v>
      </c>
      <c r="G16" s="3">
        <v>1722</v>
      </c>
      <c r="H16" s="3">
        <v>13</v>
      </c>
      <c r="I16" s="3">
        <v>15</v>
      </c>
      <c r="J16" s="3">
        <v>15</v>
      </c>
      <c r="K16" s="3">
        <v>723</v>
      </c>
      <c r="L16" s="3">
        <v>256</v>
      </c>
      <c r="M16" s="3">
        <v>2295</v>
      </c>
      <c r="N16" s="3">
        <v>429</v>
      </c>
      <c r="O16" s="5">
        <v>97</v>
      </c>
      <c r="P16" s="5">
        <v>0.4</v>
      </c>
      <c r="Q16" s="5">
        <v>1</v>
      </c>
      <c r="R16" s="5">
        <v>1.6</v>
      </c>
      <c r="S16" s="5">
        <v>26.3</v>
      </c>
      <c r="T16" s="5">
        <v>6.9</v>
      </c>
      <c r="U16" s="5">
        <v>48.4</v>
      </c>
      <c r="V16" s="5">
        <v>18.399999999999999</v>
      </c>
      <c r="W16" s="5">
        <f t="shared" si="0"/>
        <v>66.8</v>
      </c>
      <c r="X16" s="2">
        <v>0</v>
      </c>
      <c r="Y16" t="s">
        <v>616</v>
      </c>
      <c r="Z16" s="4">
        <v>41242</v>
      </c>
      <c r="AA16" t="s">
        <v>6</v>
      </c>
      <c r="AB16" t="s">
        <v>13</v>
      </c>
      <c r="AC16" t="s">
        <v>1321</v>
      </c>
      <c r="AD16" t="s">
        <v>744</v>
      </c>
      <c r="AE16" t="s">
        <v>1365</v>
      </c>
      <c r="AF16" t="s">
        <v>1376</v>
      </c>
      <c r="AG16" s="6">
        <v>7.0000000000000007E-2</v>
      </c>
      <c r="AH16" s="2">
        <v>0.05</v>
      </c>
      <c r="AI16" s="5">
        <v>11</v>
      </c>
      <c r="AJ16" s="5">
        <v>8.8000000000000007</v>
      </c>
      <c r="AK16" s="5" t="s">
        <v>443</v>
      </c>
      <c r="AL16" s="5">
        <v>9.6999999999999993</v>
      </c>
      <c r="AM16" s="5">
        <v>14.1</v>
      </c>
      <c r="AN16" s="5" t="s">
        <v>443</v>
      </c>
      <c r="AO16" s="2">
        <v>32.4</v>
      </c>
      <c r="AP16" s="2" t="s">
        <v>443</v>
      </c>
      <c r="AQ16" s="2">
        <v>60</v>
      </c>
      <c r="AR16" s="2" t="s">
        <v>1370</v>
      </c>
      <c r="AS16" t="s">
        <v>1321</v>
      </c>
    </row>
    <row r="17" spans="1:45" x14ac:dyDescent="0.35">
      <c r="A17" t="s">
        <v>14</v>
      </c>
      <c r="B17" t="s">
        <v>973</v>
      </c>
      <c r="C17" t="s">
        <v>972</v>
      </c>
      <c r="D17" s="2" t="s">
        <v>592</v>
      </c>
      <c r="E17" s="2" t="s">
        <v>1368</v>
      </c>
      <c r="F17" s="2" t="s">
        <v>716</v>
      </c>
      <c r="G17" s="3">
        <v>914</v>
      </c>
      <c r="H17" s="3">
        <v>0</v>
      </c>
      <c r="I17" s="3">
        <v>8</v>
      </c>
      <c r="J17" s="3">
        <v>9</v>
      </c>
      <c r="K17" s="3">
        <v>505</v>
      </c>
      <c r="L17" s="3">
        <v>157</v>
      </c>
      <c r="M17" s="3">
        <v>1213</v>
      </c>
      <c r="N17" s="3">
        <v>73</v>
      </c>
      <c r="O17" s="5">
        <v>97.3</v>
      </c>
      <c r="P17" s="5">
        <v>0</v>
      </c>
      <c r="Q17" s="5">
        <v>0.9</v>
      </c>
      <c r="R17" s="5">
        <v>1.8</v>
      </c>
      <c r="S17" s="5">
        <v>35.799999999999997</v>
      </c>
      <c r="T17" s="5">
        <v>8.1999999999999993</v>
      </c>
      <c r="U17" s="5">
        <v>49.9</v>
      </c>
      <c r="V17" s="5">
        <v>6.1</v>
      </c>
      <c r="W17" s="5">
        <f t="shared" si="0"/>
        <v>56</v>
      </c>
      <c r="X17" s="2">
        <v>1</v>
      </c>
      <c r="Y17" t="s">
        <v>609</v>
      </c>
      <c r="Z17" s="4">
        <v>41381</v>
      </c>
      <c r="AA17" t="s">
        <v>10</v>
      </c>
      <c r="AB17" t="s">
        <v>11</v>
      </c>
      <c r="AC17" t="s">
        <v>1322</v>
      </c>
      <c r="AD17" t="s">
        <v>745</v>
      </c>
      <c r="AE17" t="s">
        <v>1365</v>
      </c>
      <c r="AF17" t="s">
        <v>1376</v>
      </c>
      <c r="AG17" s="6">
        <v>0.5</v>
      </c>
      <c r="AH17" s="2">
        <v>0.05</v>
      </c>
      <c r="AI17" s="5">
        <v>1.9</v>
      </c>
      <c r="AJ17" s="5">
        <v>1.5</v>
      </c>
      <c r="AK17" s="5" t="s">
        <v>443</v>
      </c>
      <c r="AL17" s="5">
        <v>8.3000000000000007</v>
      </c>
      <c r="AM17" s="5">
        <v>17</v>
      </c>
      <c r="AN17" s="5" t="s">
        <v>443</v>
      </c>
      <c r="AO17" s="2">
        <v>1.5</v>
      </c>
      <c r="AP17" s="2">
        <v>85</v>
      </c>
      <c r="AQ17" s="2">
        <v>84</v>
      </c>
      <c r="AR17" s="2" t="s">
        <v>1370</v>
      </c>
      <c r="AS17" t="s">
        <v>1322</v>
      </c>
    </row>
    <row r="18" spans="1:45" x14ac:dyDescent="0.35">
      <c r="A18" t="s">
        <v>29</v>
      </c>
      <c r="B18" t="s">
        <v>974</v>
      </c>
      <c r="C18" t="s">
        <v>972</v>
      </c>
      <c r="D18" s="2" t="s">
        <v>592</v>
      </c>
      <c r="E18" s="2" t="s">
        <v>1368</v>
      </c>
      <c r="F18" s="2" t="s">
        <v>716</v>
      </c>
      <c r="G18" s="3">
        <v>1722</v>
      </c>
      <c r="H18" s="3">
        <v>13</v>
      </c>
      <c r="I18" s="3">
        <v>15</v>
      </c>
      <c r="J18" s="3">
        <v>15</v>
      </c>
      <c r="K18" s="3">
        <v>723</v>
      </c>
      <c r="L18" s="3">
        <v>256</v>
      </c>
      <c r="M18" s="3">
        <v>2295</v>
      </c>
      <c r="N18" s="3">
        <v>429</v>
      </c>
      <c r="O18" s="5">
        <v>97</v>
      </c>
      <c r="P18" s="5">
        <v>0.4</v>
      </c>
      <c r="Q18" s="5">
        <v>1</v>
      </c>
      <c r="R18" s="5">
        <v>1.6</v>
      </c>
      <c r="S18" s="5">
        <v>26.3</v>
      </c>
      <c r="T18" s="5">
        <v>6.9</v>
      </c>
      <c r="U18" s="5">
        <v>48.4</v>
      </c>
      <c r="V18" s="5">
        <v>18.399999999999999</v>
      </c>
      <c r="W18" s="5">
        <f t="shared" si="0"/>
        <v>66.8</v>
      </c>
      <c r="X18" s="2">
        <v>0</v>
      </c>
      <c r="Y18" t="s">
        <v>616</v>
      </c>
      <c r="Z18" s="4">
        <v>41381</v>
      </c>
      <c r="AA18" t="s">
        <v>6</v>
      </c>
      <c r="AB18" t="s">
        <v>13</v>
      </c>
      <c r="AC18" t="s">
        <v>1322</v>
      </c>
      <c r="AD18" t="s">
        <v>758</v>
      </c>
      <c r="AE18" t="s">
        <v>1365</v>
      </c>
      <c r="AF18" t="s">
        <v>1376</v>
      </c>
      <c r="AG18" s="6">
        <v>0.45</v>
      </c>
      <c r="AH18" s="2">
        <v>0.05</v>
      </c>
      <c r="AI18" s="5">
        <v>2.4</v>
      </c>
      <c r="AJ18" s="5">
        <v>1.9</v>
      </c>
      <c r="AK18" s="5" t="s">
        <v>443</v>
      </c>
      <c r="AL18" s="5">
        <v>9.1</v>
      </c>
      <c r="AM18" s="5">
        <v>24</v>
      </c>
      <c r="AN18" s="5" t="s">
        <v>443</v>
      </c>
      <c r="AO18" s="2">
        <v>6.8</v>
      </c>
      <c r="AP18" s="2">
        <v>37</v>
      </c>
      <c r="AQ18" s="2">
        <v>31</v>
      </c>
      <c r="AR18" s="2" t="s">
        <v>1370</v>
      </c>
      <c r="AS18" t="s">
        <v>1322</v>
      </c>
    </row>
    <row r="19" spans="1:45" x14ac:dyDescent="0.35">
      <c r="A19" t="s">
        <v>15</v>
      </c>
      <c r="B19" t="s">
        <v>973</v>
      </c>
      <c r="C19" t="s">
        <v>972</v>
      </c>
      <c r="D19" s="2" t="s">
        <v>592</v>
      </c>
      <c r="E19" s="2" t="s">
        <v>1368</v>
      </c>
      <c r="F19" s="2" t="s">
        <v>716</v>
      </c>
      <c r="G19" s="3">
        <v>914</v>
      </c>
      <c r="H19" s="3">
        <v>0</v>
      </c>
      <c r="I19" s="3">
        <v>8</v>
      </c>
      <c r="J19" s="3">
        <v>9</v>
      </c>
      <c r="K19" s="3">
        <v>505</v>
      </c>
      <c r="L19" s="3">
        <v>157</v>
      </c>
      <c r="M19" s="3">
        <v>1213</v>
      </c>
      <c r="N19" s="3">
        <v>73</v>
      </c>
      <c r="O19" s="5">
        <v>97.3</v>
      </c>
      <c r="P19" s="5">
        <v>0</v>
      </c>
      <c r="Q19" s="5">
        <v>0.9</v>
      </c>
      <c r="R19" s="5">
        <v>1.8</v>
      </c>
      <c r="S19" s="5">
        <v>35.799999999999997</v>
      </c>
      <c r="T19" s="5">
        <v>8.1999999999999993</v>
      </c>
      <c r="U19" s="5">
        <v>49.9</v>
      </c>
      <c r="V19" s="5">
        <v>6.1</v>
      </c>
      <c r="W19" s="5">
        <f t="shared" si="0"/>
        <v>56</v>
      </c>
      <c r="X19" s="2">
        <v>1</v>
      </c>
      <c r="Y19" t="s">
        <v>609</v>
      </c>
      <c r="Z19" s="4">
        <v>41424</v>
      </c>
      <c r="AA19" t="s">
        <v>10</v>
      </c>
      <c r="AB19" t="s">
        <v>11</v>
      </c>
      <c r="AC19" t="s">
        <v>1322</v>
      </c>
      <c r="AD19" t="s">
        <v>746</v>
      </c>
      <c r="AE19" t="s">
        <v>1365</v>
      </c>
      <c r="AF19" t="s">
        <v>1376</v>
      </c>
      <c r="AG19" s="6">
        <v>0.45</v>
      </c>
      <c r="AH19" s="2">
        <v>0.05</v>
      </c>
      <c r="AI19" s="5">
        <v>3</v>
      </c>
      <c r="AJ19" s="5">
        <v>2.4</v>
      </c>
      <c r="AK19" s="5" t="s">
        <v>443</v>
      </c>
      <c r="AL19" s="5">
        <v>8.5</v>
      </c>
      <c r="AM19" s="5">
        <v>17</v>
      </c>
      <c r="AN19" s="5" t="s">
        <v>443</v>
      </c>
      <c r="AO19" s="2">
        <v>3.6</v>
      </c>
      <c r="AP19" s="2">
        <v>148</v>
      </c>
      <c r="AQ19" s="2">
        <v>144</v>
      </c>
      <c r="AR19" s="2" t="s">
        <v>1370</v>
      </c>
      <c r="AS19" t="s">
        <v>1322</v>
      </c>
    </row>
    <row r="20" spans="1:45" x14ac:dyDescent="0.35">
      <c r="A20" t="s">
        <v>30</v>
      </c>
      <c r="B20" t="s">
        <v>974</v>
      </c>
      <c r="C20" t="s">
        <v>972</v>
      </c>
      <c r="D20" s="2" t="s">
        <v>592</v>
      </c>
      <c r="E20" s="2" t="s">
        <v>1368</v>
      </c>
      <c r="F20" s="2" t="s">
        <v>716</v>
      </c>
      <c r="G20" s="3">
        <v>1722</v>
      </c>
      <c r="H20" s="3">
        <v>13</v>
      </c>
      <c r="I20" s="3">
        <v>15</v>
      </c>
      <c r="J20" s="3">
        <v>15</v>
      </c>
      <c r="K20" s="3">
        <v>723</v>
      </c>
      <c r="L20" s="3">
        <v>256</v>
      </c>
      <c r="M20" s="3">
        <v>2295</v>
      </c>
      <c r="N20" s="3">
        <v>429</v>
      </c>
      <c r="O20" s="5">
        <v>97</v>
      </c>
      <c r="P20" s="5">
        <v>0.4</v>
      </c>
      <c r="Q20" s="5">
        <v>1</v>
      </c>
      <c r="R20" s="5">
        <v>1.6</v>
      </c>
      <c r="S20" s="5">
        <v>26.3</v>
      </c>
      <c r="T20" s="5">
        <v>6.9</v>
      </c>
      <c r="U20" s="5">
        <v>48.4</v>
      </c>
      <c r="V20" s="5">
        <v>18.399999999999999</v>
      </c>
      <c r="W20" s="5">
        <f t="shared" si="0"/>
        <v>66.8</v>
      </c>
      <c r="X20" s="2">
        <v>0</v>
      </c>
      <c r="Y20" t="s">
        <v>616</v>
      </c>
      <c r="Z20" s="4">
        <v>41424</v>
      </c>
      <c r="AA20" t="s">
        <v>6</v>
      </c>
      <c r="AB20" t="s">
        <v>13</v>
      </c>
      <c r="AC20" t="s">
        <v>1322</v>
      </c>
      <c r="AD20" t="s">
        <v>759</v>
      </c>
      <c r="AE20" t="s">
        <v>1365</v>
      </c>
      <c r="AF20" t="s">
        <v>1376</v>
      </c>
      <c r="AG20" s="6">
        <v>0.31</v>
      </c>
      <c r="AH20" s="2">
        <v>0.05</v>
      </c>
      <c r="AI20" s="5">
        <v>3</v>
      </c>
      <c r="AJ20" s="5">
        <v>2.4</v>
      </c>
      <c r="AK20" s="5" t="s">
        <v>443</v>
      </c>
      <c r="AL20" s="5">
        <v>9.3000000000000007</v>
      </c>
      <c r="AM20" s="5">
        <v>17</v>
      </c>
      <c r="AN20" s="5" t="s">
        <v>443</v>
      </c>
      <c r="AO20" s="2">
        <v>11.7</v>
      </c>
      <c r="AP20" s="2">
        <v>38</v>
      </c>
      <c r="AQ20" s="2">
        <v>33</v>
      </c>
      <c r="AR20" s="2" t="s">
        <v>1370</v>
      </c>
      <c r="AS20" t="s">
        <v>1322</v>
      </c>
    </row>
    <row r="21" spans="1:45" x14ac:dyDescent="0.35">
      <c r="A21" t="s">
        <v>126</v>
      </c>
      <c r="B21" t="s">
        <v>127</v>
      </c>
      <c r="C21" t="s">
        <v>1037</v>
      </c>
      <c r="D21" s="2" t="s">
        <v>592</v>
      </c>
      <c r="E21" s="2" t="s">
        <v>1368</v>
      </c>
      <c r="F21" s="2" t="s">
        <v>619</v>
      </c>
      <c r="G21" s="3">
        <v>31</v>
      </c>
      <c r="H21" s="3">
        <v>7</v>
      </c>
      <c r="I21" s="3">
        <v>47</v>
      </c>
      <c r="J21" s="3">
        <v>47</v>
      </c>
      <c r="K21" s="3">
        <v>30</v>
      </c>
      <c r="L21" s="3">
        <v>115</v>
      </c>
      <c r="M21" s="3">
        <v>251</v>
      </c>
      <c r="N21" s="3">
        <v>15</v>
      </c>
      <c r="O21" s="5">
        <v>17.418956783878837</v>
      </c>
      <c r="P21" s="5">
        <v>2.3127074624450303</v>
      </c>
      <c r="Q21" s="5">
        <v>30.296995321751012</v>
      </c>
      <c r="R21" s="5">
        <v>49.971340431925121</v>
      </c>
      <c r="S21" s="5">
        <v>10.774915199371057</v>
      </c>
      <c r="T21" s="5">
        <v>30.485554541630894</v>
      </c>
      <c r="U21" s="5">
        <v>52.373351195369658</v>
      </c>
      <c r="V21" s="5">
        <v>6.3661790636283992</v>
      </c>
      <c r="W21" s="5">
        <v>58.739530258998059</v>
      </c>
      <c r="X21" s="3">
        <v>-1</v>
      </c>
      <c r="Y21" t="s">
        <v>1355</v>
      </c>
      <c r="Z21" s="4">
        <v>41426</v>
      </c>
      <c r="AA21" t="s">
        <v>128</v>
      </c>
      <c r="AB21" t="s">
        <v>129</v>
      </c>
      <c r="AC21" t="s">
        <v>1336</v>
      </c>
      <c r="AD21" t="s">
        <v>774</v>
      </c>
      <c r="AE21" t="s">
        <v>1365</v>
      </c>
      <c r="AF21" t="s">
        <v>1376</v>
      </c>
      <c r="AG21" s="6">
        <v>3</v>
      </c>
      <c r="AH21" s="2">
        <v>0.1</v>
      </c>
      <c r="AI21" s="5" t="s">
        <v>443</v>
      </c>
      <c r="AJ21" s="5" t="s">
        <v>443</v>
      </c>
      <c r="AK21" s="5">
        <v>0.5</v>
      </c>
      <c r="AL21" s="5">
        <v>8.6</v>
      </c>
      <c r="AM21" s="5" t="s">
        <v>443</v>
      </c>
      <c r="AN21" s="5" t="s">
        <v>443</v>
      </c>
      <c r="AO21" s="2" t="s">
        <v>443</v>
      </c>
      <c r="AP21" s="2" t="s">
        <v>443</v>
      </c>
      <c r="AQ21" s="2" t="s">
        <v>443</v>
      </c>
      <c r="AR21" s="2" t="s">
        <v>1370</v>
      </c>
      <c r="AS21" t="s">
        <v>1331</v>
      </c>
    </row>
    <row r="22" spans="1:45" x14ac:dyDescent="0.35">
      <c r="A22" t="s">
        <v>16</v>
      </c>
      <c r="B22" t="s">
        <v>973</v>
      </c>
      <c r="C22" t="s">
        <v>972</v>
      </c>
      <c r="D22" s="2" t="s">
        <v>592</v>
      </c>
      <c r="E22" s="2" t="s">
        <v>1368</v>
      </c>
      <c r="F22" s="2" t="s">
        <v>716</v>
      </c>
      <c r="G22" s="3">
        <v>914</v>
      </c>
      <c r="H22" s="3">
        <v>0</v>
      </c>
      <c r="I22" s="3">
        <v>8</v>
      </c>
      <c r="J22" s="3">
        <v>9</v>
      </c>
      <c r="K22" s="3">
        <v>505</v>
      </c>
      <c r="L22" s="3">
        <v>157</v>
      </c>
      <c r="M22" s="3">
        <v>1213</v>
      </c>
      <c r="N22" s="3">
        <v>73</v>
      </c>
      <c r="O22" s="5">
        <v>97.3</v>
      </c>
      <c r="P22" s="5">
        <v>0</v>
      </c>
      <c r="Q22" s="5">
        <v>0.9</v>
      </c>
      <c r="R22" s="5">
        <v>1.8</v>
      </c>
      <c r="S22" s="5">
        <v>35.799999999999997</v>
      </c>
      <c r="T22" s="5">
        <v>8.1999999999999993</v>
      </c>
      <c r="U22" s="5">
        <v>49.9</v>
      </c>
      <c r="V22" s="5">
        <v>6.1</v>
      </c>
      <c r="W22" s="5">
        <f>SUM(U22:V22)</f>
        <v>56</v>
      </c>
      <c r="X22" s="2">
        <v>1</v>
      </c>
      <c r="Y22" t="s">
        <v>609</v>
      </c>
      <c r="Z22" s="4">
        <v>41443</v>
      </c>
      <c r="AA22" t="s">
        <v>10</v>
      </c>
      <c r="AB22" t="s">
        <v>11</v>
      </c>
      <c r="AC22" t="s">
        <v>1322</v>
      </c>
      <c r="AD22" t="s">
        <v>747</v>
      </c>
      <c r="AE22" t="s">
        <v>1365</v>
      </c>
      <c r="AF22" t="s">
        <v>1376</v>
      </c>
      <c r="AG22" s="6">
        <v>0.35</v>
      </c>
      <c r="AH22" s="2">
        <v>0.05</v>
      </c>
      <c r="AI22" s="5">
        <v>3.8</v>
      </c>
      <c r="AJ22" s="5">
        <v>3</v>
      </c>
      <c r="AK22" s="5" t="s">
        <v>443</v>
      </c>
      <c r="AL22" s="5">
        <v>8.6999999999999993</v>
      </c>
      <c r="AM22" s="5">
        <v>30</v>
      </c>
      <c r="AN22" s="5" t="s">
        <v>443</v>
      </c>
      <c r="AO22" s="2">
        <v>0.5</v>
      </c>
      <c r="AP22" s="2">
        <v>174</v>
      </c>
      <c r="AQ22" s="2">
        <v>174</v>
      </c>
      <c r="AR22" s="2" t="s">
        <v>1370</v>
      </c>
      <c r="AS22" t="s">
        <v>1322</v>
      </c>
    </row>
    <row r="23" spans="1:45" x14ac:dyDescent="0.35">
      <c r="A23" t="s">
        <v>31</v>
      </c>
      <c r="B23" t="s">
        <v>974</v>
      </c>
      <c r="C23" t="s">
        <v>972</v>
      </c>
      <c r="D23" s="2" t="s">
        <v>592</v>
      </c>
      <c r="E23" s="2" t="s">
        <v>1368</v>
      </c>
      <c r="F23" s="2" t="s">
        <v>716</v>
      </c>
      <c r="G23" s="3">
        <v>1722</v>
      </c>
      <c r="H23" s="3">
        <v>13</v>
      </c>
      <c r="I23" s="3">
        <v>15</v>
      </c>
      <c r="J23" s="3">
        <v>15</v>
      </c>
      <c r="K23" s="3">
        <v>723</v>
      </c>
      <c r="L23" s="3">
        <v>256</v>
      </c>
      <c r="M23" s="3">
        <v>2295</v>
      </c>
      <c r="N23" s="3">
        <v>429</v>
      </c>
      <c r="O23" s="5">
        <v>97</v>
      </c>
      <c r="P23" s="5">
        <v>0.4</v>
      </c>
      <c r="Q23" s="5">
        <v>1</v>
      </c>
      <c r="R23" s="5">
        <v>1.6</v>
      </c>
      <c r="S23" s="5">
        <v>26.3</v>
      </c>
      <c r="T23" s="5">
        <v>6.9</v>
      </c>
      <c r="U23" s="5">
        <v>48.4</v>
      </c>
      <c r="V23" s="5">
        <v>18.399999999999999</v>
      </c>
      <c r="W23" s="5">
        <f>SUM(U23:V23)</f>
        <v>66.8</v>
      </c>
      <c r="X23" s="2">
        <v>0</v>
      </c>
      <c r="Y23" t="s">
        <v>616</v>
      </c>
      <c r="Z23" s="4">
        <v>41443</v>
      </c>
      <c r="AA23" t="s">
        <v>6</v>
      </c>
      <c r="AB23" t="s">
        <v>13</v>
      </c>
      <c r="AC23" t="s">
        <v>1322</v>
      </c>
      <c r="AD23" t="s">
        <v>760</v>
      </c>
      <c r="AE23" t="s">
        <v>1365</v>
      </c>
      <c r="AF23" t="s">
        <v>1376</v>
      </c>
      <c r="AG23" s="6">
        <v>0.32</v>
      </c>
      <c r="AH23" s="2">
        <v>0.05</v>
      </c>
      <c r="AI23" s="5">
        <v>3.3</v>
      </c>
      <c r="AJ23" s="5">
        <v>2.6</v>
      </c>
      <c r="AK23" s="5" t="s">
        <v>443</v>
      </c>
      <c r="AL23" s="5">
        <v>9.1999999999999993</v>
      </c>
      <c r="AM23" s="5">
        <v>26</v>
      </c>
      <c r="AN23" s="5" t="s">
        <v>443</v>
      </c>
      <c r="AO23" s="2">
        <v>1.7</v>
      </c>
      <c r="AP23" s="2">
        <v>40</v>
      </c>
      <c r="AQ23" s="2">
        <v>32</v>
      </c>
      <c r="AR23" s="2" t="s">
        <v>1370</v>
      </c>
      <c r="AS23" t="s">
        <v>1322</v>
      </c>
    </row>
    <row r="24" spans="1:45" x14ac:dyDescent="0.35">
      <c r="A24" t="s">
        <v>45</v>
      </c>
      <c r="B24" t="s">
        <v>46</v>
      </c>
      <c r="C24" t="s">
        <v>1036</v>
      </c>
      <c r="D24" s="2" t="s">
        <v>592</v>
      </c>
      <c r="E24" s="2" t="s">
        <v>1368</v>
      </c>
      <c r="F24" s="2" t="s">
        <v>717</v>
      </c>
      <c r="G24" s="3">
        <v>26300</v>
      </c>
      <c r="H24" s="3">
        <v>31.8</v>
      </c>
      <c r="I24" s="3">
        <v>112</v>
      </c>
      <c r="J24" s="3">
        <v>20.100000000000001</v>
      </c>
      <c r="K24" s="3">
        <v>41000</v>
      </c>
      <c r="L24" s="3">
        <v>231</v>
      </c>
      <c r="M24" s="3">
        <v>366</v>
      </c>
      <c r="N24" s="3">
        <v>200</v>
      </c>
      <c r="O24" s="5">
        <v>99.3</v>
      </c>
      <c r="P24" s="5">
        <v>0.1</v>
      </c>
      <c r="Q24" s="5">
        <v>0.5</v>
      </c>
      <c r="R24" s="5">
        <v>0.1</v>
      </c>
      <c r="S24" s="5">
        <v>98.5</v>
      </c>
      <c r="T24" s="5">
        <v>0.4</v>
      </c>
      <c r="U24" s="5">
        <v>0.5</v>
      </c>
      <c r="V24" s="5">
        <v>0.6</v>
      </c>
      <c r="W24" s="5">
        <f>SUM(U24:V24)</f>
        <v>1.1000000000000001</v>
      </c>
      <c r="X24" s="2">
        <v>-1</v>
      </c>
      <c r="Y24" t="s">
        <v>1351</v>
      </c>
      <c r="Z24" s="4">
        <v>41474</v>
      </c>
      <c r="AA24" t="s">
        <v>47</v>
      </c>
      <c r="AB24" t="s">
        <v>48</v>
      </c>
      <c r="AC24" t="s">
        <v>609</v>
      </c>
      <c r="AD24" t="s">
        <v>1303</v>
      </c>
      <c r="AE24" t="s">
        <v>1365</v>
      </c>
      <c r="AF24" t="s">
        <v>1376</v>
      </c>
      <c r="AG24" s="6">
        <v>18</v>
      </c>
      <c r="AH24" s="2">
        <v>0.5</v>
      </c>
      <c r="AI24" s="5">
        <v>92</v>
      </c>
      <c r="AJ24" s="5">
        <v>66.599999999999994</v>
      </c>
      <c r="AK24" s="5" t="s">
        <v>443</v>
      </c>
      <c r="AL24" s="5">
        <v>8.4</v>
      </c>
      <c r="AM24" s="5">
        <v>27</v>
      </c>
      <c r="AN24" s="5" t="s">
        <v>443</v>
      </c>
      <c r="AO24" s="2">
        <v>0.6</v>
      </c>
      <c r="AP24" s="5" t="s">
        <v>443</v>
      </c>
      <c r="AQ24" s="5" t="s">
        <v>443</v>
      </c>
      <c r="AR24" s="2" t="s">
        <v>1370</v>
      </c>
      <c r="AS24" t="s">
        <v>609</v>
      </c>
    </row>
    <row r="25" spans="1:45" x14ac:dyDescent="0.35">
      <c r="A25" t="s">
        <v>49</v>
      </c>
      <c r="B25" t="s">
        <v>50</v>
      </c>
      <c r="C25" t="s">
        <v>1036</v>
      </c>
      <c r="D25" s="2" t="s">
        <v>592</v>
      </c>
      <c r="E25" s="2" t="s">
        <v>1368</v>
      </c>
      <c r="F25" s="2" t="s">
        <v>717</v>
      </c>
      <c r="G25" s="3" t="s">
        <v>443</v>
      </c>
      <c r="H25" s="3" t="s">
        <v>443</v>
      </c>
      <c r="I25" s="3" t="s">
        <v>443</v>
      </c>
      <c r="J25" s="3" t="s">
        <v>443</v>
      </c>
      <c r="K25" s="3">
        <v>19000</v>
      </c>
      <c r="L25" s="3">
        <v>126</v>
      </c>
      <c r="M25" s="3" t="s">
        <v>443</v>
      </c>
      <c r="N25" s="3" t="s">
        <v>443</v>
      </c>
      <c r="O25" s="5" t="s">
        <v>443</v>
      </c>
      <c r="P25" s="5" t="s">
        <v>443</v>
      </c>
      <c r="Q25" s="5" t="s">
        <v>443</v>
      </c>
      <c r="R25" s="5" t="s">
        <v>443</v>
      </c>
      <c r="S25" s="5" t="s">
        <v>443</v>
      </c>
      <c r="T25" s="5" t="s">
        <v>443</v>
      </c>
      <c r="U25" s="5" t="s">
        <v>443</v>
      </c>
      <c r="V25" s="5" t="s">
        <v>443</v>
      </c>
      <c r="W25" s="5" t="s">
        <v>443</v>
      </c>
      <c r="X25" s="3" t="s">
        <v>443</v>
      </c>
      <c r="Y25" t="s">
        <v>609</v>
      </c>
      <c r="Z25" s="4">
        <v>41474</v>
      </c>
      <c r="AA25" t="s">
        <v>51</v>
      </c>
      <c r="AB25" t="s">
        <v>52</v>
      </c>
      <c r="AC25" t="s">
        <v>609</v>
      </c>
      <c r="AD25" t="s">
        <v>1304</v>
      </c>
      <c r="AE25" t="s">
        <v>1365</v>
      </c>
      <c r="AF25" t="s">
        <v>1376</v>
      </c>
      <c r="AG25" s="6">
        <v>23</v>
      </c>
      <c r="AH25" s="2">
        <v>0.5</v>
      </c>
      <c r="AI25" s="5">
        <v>46.8</v>
      </c>
      <c r="AJ25" s="5">
        <v>30</v>
      </c>
      <c r="AK25" s="5" t="s">
        <v>443</v>
      </c>
      <c r="AL25" s="5">
        <v>8.3000000000000007</v>
      </c>
      <c r="AM25" s="5">
        <v>27.2</v>
      </c>
      <c r="AN25" s="5">
        <v>8.9499999999999993</v>
      </c>
      <c r="AO25" s="2">
        <v>2</v>
      </c>
      <c r="AP25" s="2">
        <v>18.600000000000001</v>
      </c>
      <c r="AQ25" s="5" t="s">
        <v>443</v>
      </c>
      <c r="AR25" s="2" t="s">
        <v>1370</v>
      </c>
      <c r="AS25" t="s">
        <v>609</v>
      </c>
    </row>
    <row r="26" spans="1:45" x14ac:dyDescent="0.35">
      <c r="A26" t="s">
        <v>53</v>
      </c>
      <c r="B26" t="s">
        <v>50</v>
      </c>
      <c r="C26" t="s">
        <v>1036</v>
      </c>
      <c r="D26" s="2" t="s">
        <v>592</v>
      </c>
      <c r="E26" s="2" t="s">
        <v>1368</v>
      </c>
      <c r="F26" s="2" t="s">
        <v>717</v>
      </c>
      <c r="G26" s="3" t="s">
        <v>443</v>
      </c>
      <c r="H26" s="3" t="s">
        <v>443</v>
      </c>
      <c r="I26" s="3" t="s">
        <v>443</v>
      </c>
      <c r="J26" s="3" t="s">
        <v>443</v>
      </c>
      <c r="K26" s="3">
        <v>39000</v>
      </c>
      <c r="L26" s="3">
        <v>120</v>
      </c>
      <c r="M26" s="3" t="s">
        <v>443</v>
      </c>
      <c r="N26" s="3" t="s">
        <v>443</v>
      </c>
      <c r="O26" s="5" t="s">
        <v>443</v>
      </c>
      <c r="P26" s="5" t="s">
        <v>443</v>
      </c>
      <c r="Q26" s="5" t="s">
        <v>443</v>
      </c>
      <c r="R26" s="5" t="s">
        <v>443</v>
      </c>
      <c r="S26" s="5" t="s">
        <v>443</v>
      </c>
      <c r="T26" s="5" t="s">
        <v>443</v>
      </c>
      <c r="U26" s="5" t="s">
        <v>443</v>
      </c>
      <c r="V26" s="5" t="s">
        <v>443</v>
      </c>
      <c r="W26" s="5" t="s">
        <v>443</v>
      </c>
      <c r="X26" s="3" t="s">
        <v>443</v>
      </c>
      <c r="Y26" t="s">
        <v>609</v>
      </c>
      <c r="Z26" s="4">
        <v>41474</v>
      </c>
      <c r="AA26" t="s">
        <v>51</v>
      </c>
      <c r="AB26" t="s">
        <v>52</v>
      </c>
      <c r="AC26" t="s">
        <v>609</v>
      </c>
      <c r="AD26" t="s">
        <v>1305</v>
      </c>
      <c r="AE26" t="s">
        <v>1365</v>
      </c>
      <c r="AF26" t="s">
        <v>1376</v>
      </c>
      <c r="AG26" s="6">
        <v>23</v>
      </c>
      <c r="AH26" s="2">
        <v>1.5</v>
      </c>
      <c r="AI26" s="5">
        <v>128.19999999999999</v>
      </c>
      <c r="AJ26" s="5">
        <v>68</v>
      </c>
      <c r="AK26" s="5" t="s">
        <v>443</v>
      </c>
      <c r="AL26" s="5">
        <v>7.5</v>
      </c>
      <c r="AM26" s="5">
        <v>38.200000000000003</v>
      </c>
      <c r="AN26" s="5">
        <v>9.7899999999999991</v>
      </c>
      <c r="AO26" s="2">
        <v>0.6</v>
      </c>
      <c r="AP26" s="2">
        <v>13</v>
      </c>
      <c r="AQ26" s="5" t="s">
        <v>443</v>
      </c>
      <c r="AR26" s="2" t="s">
        <v>1370</v>
      </c>
      <c r="AS26" t="s">
        <v>609</v>
      </c>
    </row>
    <row r="27" spans="1:45" x14ac:dyDescent="0.35">
      <c r="A27" t="s">
        <v>54</v>
      </c>
      <c r="B27" t="s">
        <v>50</v>
      </c>
      <c r="C27" t="s">
        <v>1036</v>
      </c>
      <c r="D27" s="2" t="s">
        <v>592</v>
      </c>
      <c r="E27" s="2" t="s">
        <v>1368</v>
      </c>
      <c r="F27" s="2" t="s">
        <v>717</v>
      </c>
      <c r="G27" s="3" t="s">
        <v>443</v>
      </c>
      <c r="H27" s="3" t="s">
        <v>443</v>
      </c>
      <c r="I27" s="3" t="s">
        <v>443</v>
      </c>
      <c r="J27" s="3" t="s">
        <v>443</v>
      </c>
      <c r="K27" s="3">
        <v>60000</v>
      </c>
      <c r="L27" s="3">
        <v>126</v>
      </c>
      <c r="M27" s="3" t="s">
        <v>443</v>
      </c>
      <c r="N27" s="3" t="s">
        <v>443</v>
      </c>
      <c r="O27" s="5" t="s">
        <v>443</v>
      </c>
      <c r="P27" s="5" t="s">
        <v>443</v>
      </c>
      <c r="Q27" s="5" t="s">
        <v>443</v>
      </c>
      <c r="R27" s="5" t="s">
        <v>443</v>
      </c>
      <c r="S27" s="5" t="s">
        <v>443</v>
      </c>
      <c r="T27" s="5" t="s">
        <v>443</v>
      </c>
      <c r="U27" s="5" t="s">
        <v>443</v>
      </c>
      <c r="V27" s="5" t="s">
        <v>443</v>
      </c>
      <c r="W27" s="5" t="s">
        <v>443</v>
      </c>
      <c r="X27" s="3" t="s">
        <v>443</v>
      </c>
      <c r="Y27" t="s">
        <v>609</v>
      </c>
      <c r="Z27" s="4">
        <v>41474</v>
      </c>
      <c r="AA27" t="s">
        <v>51</v>
      </c>
      <c r="AB27" t="s">
        <v>52</v>
      </c>
      <c r="AC27" t="s">
        <v>609</v>
      </c>
      <c r="AD27" t="s">
        <v>1306</v>
      </c>
      <c r="AE27" t="s">
        <v>1365</v>
      </c>
      <c r="AF27" t="s">
        <v>1376</v>
      </c>
      <c r="AG27" s="6">
        <v>23</v>
      </c>
      <c r="AH27" s="2">
        <v>2.8</v>
      </c>
      <c r="AI27" s="5">
        <v>204</v>
      </c>
      <c r="AJ27" s="5">
        <v>134</v>
      </c>
      <c r="AK27" s="5" t="s">
        <v>443</v>
      </c>
      <c r="AL27" s="5">
        <v>7.6</v>
      </c>
      <c r="AM27" s="5">
        <v>41.1</v>
      </c>
      <c r="AN27" s="5">
        <v>11.57</v>
      </c>
      <c r="AO27" s="2">
        <v>2.5</v>
      </c>
      <c r="AP27" s="2">
        <v>15.88</v>
      </c>
      <c r="AQ27" s="5" t="s">
        <v>443</v>
      </c>
      <c r="AR27" s="2" t="s">
        <v>1370</v>
      </c>
      <c r="AS27" t="s">
        <v>609</v>
      </c>
    </row>
    <row r="28" spans="1:45" x14ac:dyDescent="0.35">
      <c r="A28" t="s">
        <v>17</v>
      </c>
      <c r="B28" t="s">
        <v>973</v>
      </c>
      <c r="C28" t="s">
        <v>972</v>
      </c>
      <c r="D28" s="2" t="s">
        <v>592</v>
      </c>
      <c r="E28" s="2" t="s">
        <v>1368</v>
      </c>
      <c r="F28" s="2" t="s">
        <v>716</v>
      </c>
      <c r="G28" s="3">
        <v>914</v>
      </c>
      <c r="H28" s="3">
        <v>0</v>
      </c>
      <c r="I28" s="3">
        <v>8</v>
      </c>
      <c r="J28" s="3">
        <v>9</v>
      </c>
      <c r="K28" s="3">
        <v>505</v>
      </c>
      <c r="L28" s="3">
        <v>157</v>
      </c>
      <c r="M28" s="3">
        <v>1213</v>
      </c>
      <c r="N28" s="3">
        <v>73</v>
      </c>
      <c r="O28" s="5">
        <v>97.3</v>
      </c>
      <c r="P28" s="5">
        <v>0</v>
      </c>
      <c r="Q28" s="5">
        <v>0.9</v>
      </c>
      <c r="R28" s="5">
        <v>1.8</v>
      </c>
      <c r="S28" s="5">
        <v>35.799999999999997</v>
      </c>
      <c r="T28" s="5">
        <v>8.1999999999999993</v>
      </c>
      <c r="U28" s="5">
        <v>49.9</v>
      </c>
      <c r="V28" s="5">
        <v>6.1</v>
      </c>
      <c r="W28" s="5">
        <f t="shared" ref="W28:W50" si="1">SUM(U28:V28)</f>
        <v>56</v>
      </c>
      <c r="X28" s="2">
        <v>1</v>
      </c>
      <c r="Y28" t="s">
        <v>609</v>
      </c>
      <c r="Z28" s="4">
        <v>41479</v>
      </c>
      <c r="AA28" t="s">
        <v>10</v>
      </c>
      <c r="AB28" t="s">
        <v>11</v>
      </c>
      <c r="AC28" t="s">
        <v>1322</v>
      </c>
      <c r="AD28" t="s">
        <v>748</v>
      </c>
      <c r="AE28" t="s">
        <v>1365</v>
      </c>
      <c r="AF28" t="s">
        <v>1376</v>
      </c>
      <c r="AG28" s="6">
        <v>0.18</v>
      </c>
      <c r="AH28" s="2">
        <v>0.05</v>
      </c>
      <c r="AI28" s="5">
        <v>7.9</v>
      </c>
      <c r="AJ28" s="5">
        <v>6.3</v>
      </c>
      <c r="AK28" s="5" t="s">
        <v>443</v>
      </c>
      <c r="AL28" s="5">
        <v>9.1</v>
      </c>
      <c r="AM28" s="5">
        <v>25</v>
      </c>
      <c r="AN28" s="5" t="s">
        <v>443</v>
      </c>
      <c r="AO28" s="2">
        <v>1.8</v>
      </c>
      <c r="AP28" s="2">
        <v>355</v>
      </c>
      <c r="AQ28" s="2">
        <v>350</v>
      </c>
      <c r="AR28" s="2" t="s">
        <v>1370</v>
      </c>
      <c r="AS28" t="s">
        <v>1322</v>
      </c>
    </row>
    <row r="29" spans="1:45" x14ac:dyDescent="0.35">
      <c r="A29" t="s">
        <v>32</v>
      </c>
      <c r="B29" t="s">
        <v>974</v>
      </c>
      <c r="C29" t="s">
        <v>972</v>
      </c>
      <c r="D29" s="2" t="s">
        <v>592</v>
      </c>
      <c r="E29" s="2" t="s">
        <v>1368</v>
      </c>
      <c r="F29" s="2" t="s">
        <v>716</v>
      </c>
      <c r="G29" s="3">
        <v>1722</v>
      </c>
      <c r="H29" s="3">
        <v>13</v>
      </c>
      <c r="I29" s="3">
        <v>15</v>
      </c>
      <c r="J29" s="3">
        <v>15</v>
      </c>
      <c r="K29" s="3">
        <v>723</v>
      </c>
      <c r="L29" s="3">
        <v>256</v>
      </c>
      <c r="M29" s="3">
        <v>2295</v>
      </c>
      <c r="N29" s="3">
        <v>429</v>
      </c>
      <c r="O29" s="5">
        <v>97</v>
      </c>
      <c r="P29" s="5">
        <v>0.4</v>
      </c>
      <c r="Q29" s="5">
        <v>1</v>
      </c>
      <c r="R29" s="5">
        <v>1.6</v>
      </c>
      <c r="S29" s="5">
        <v>26.3</v>
      </c>
      <c r="T29" s="5">
        <v>6.9</v>
      </c>
      <c r="U29" s="5">
        <v>48.4</v>
      </c>
      <c r="V29" s="5">
        <v>18.399999999999999</v>
      </c>
      <c r="W29" s="5">
        <f t="shared" si="1"/>
        <v>66.8</v>
      </c>
      <c r="X29" s="2">
        <v>0</v>
      </c>
      <c r="Y29" t="s">
        <v>616</v>
      </c>
      <c r="Z29" s="4">
        <v>41479</v>
      </c>
      <c r="AA29" t="s">
        <v>6</v>
      </c>
      <c r="AB29" t="s">
        <v>13</v>
      </c>
      <c r="AC29" t="s">
        <v>1322</v>
      </c>
      <c r="AD29" t="s">
        <v>761</v>
      </c>
      <c r="AE29" t="s">
        <v>1365</v>
      </c>
      <c r="AF29" t="s">
        <v>1376</v>
      </c>
      <c r="AG29" s="6">
        <v>0.2</v>
      </c>
      <c r="AH29" s="2">
        <v>0.05</v>
      </c>
      <c r="AI29" s="5">
        <v>5.5</v>
      </c>
      <c r="AJ29" s="5">
        <v>4.4000000000000004</v>
      </c>
      <c r="AK29" s="5" t="s">
        <v>443</v>
      </c>
      <c r="AL29" s="5">
        <v>9.5</v>
      </c>
      <c r="AM29" s="5">
        <v>31</v>
      </c>
      <c r="AN29" s="5" t="s">
        <v>443</v>
      </c>
      <c r="AO29" s="2">
        <v>3.8</v>
      </c>
      <c r="AP29" s="2">
        <v>54</v>
      </c>
      <c r="AQ29" s="2">
        <v>50</v>
      </c>
      <c r="AR29" s="2" t="s">
        <v>1370</v>
      </c>
      <c r="AS29" t="s">
        <v>1322</v>
      </c>
    </row>
    <row r="30" spans="1:45" x14ac:dyDescent="0.35">
      <c r="A30" t="s">
        <v>18</v>
      </c>
      <c r="B30" t="s">
        <v>973</v>
      </c>
      <c r="C30" t="s">
        <v>972</v>
      </c>
      <c r="D30" s="2" t="s">
        <v>592</v>
      </c>
      <c r="E30" s="2" t="s">
        <v>1368</v>
      </c>
      <c r="F30" s="2" t="s">
        <v>716</v>
      </c>
      <c r="G30" s="3">
        <v>914</v>
      </c>
      <c r="H30" s="3">
        <v>0</v>
      </c>
      <c r="I30" s="3">
        <v>8</v>
      </c>
      <c r="J30" s="3">
        <v>9</v>
      </c>
      <c r="K30" s="3">
        <v>505</v>
      </c>
      <c r="L30" s="3">
        <v>157</v>
      </c>
      <c r="M30" s="3">
        <v>1213</v>
      </c>
      <c r="N30" s="3">
        <v>73</v>
      </c>
      <c r="O30" s="5">
        <v>97.3</v>
      </c>
      <c r="P30" s="5">
        <v>0</v>
      </c>
      <c r="Q30" s="5">
        <v>0.9</v>
      </c>
      <c r="R30" s="5">
        <v>1.8</v>
      </c>
      <c r="S30" s="5">
        <v>35.799999999999997</v>
      </c>
      <c r="T30" s="5">
        <v>8.1999999999999993</v>
      </c>
      <c r="U30" s="5">
        <v>49.9</v>
      </c>
      <c r="V30" s="5">
        <v>6.1</v>
      </c>
      <c r="W30" s="5">
        <f t="shared" si="1"/>
        <v>56</v>
      </c>
      <c r="X30" s="2">
        <v>1</v>
      </c>
      <c r="Y30" t="s">
        <v>609</v>
      </c>
      <c r="Z30" s="4">
        <v>41502</v>
      </c>
      <c r="AA30" t="s">
        <v>10</v>
      </c>
      <c r="AB30" t="s">
        <v>11</v>
      </c>
      <c r="AC30" t="s">
        <v>1322</v>
      </c>
      <c r="AD30" t="s">
        <v>749</v>
      </c>
      <c r="AE30" t="s">
        <v>1365</v>
      </c>
      <c r="AF30" t="s">
        <v>1376</v>
      </c>
      <c r="AG30" s="6">
        <v>0.1</v>
      </c>
      <c r="AH30" s="2">
        <v>0.02</v>
      </c>
      <c r="AI30" s="5">
        <v>23.6</v>
      </c>
      <c r="AJ30" s="5">
        <v>18.899999999999999</v>
      </c>
      <c r="AK30" s="5" t="s">
        <v>443</v>
      </c>
      <c r="AL30" s="5">
        <v>9.6</v>
      </c>
      <c r="AM30" s="5">
        <v>27</v>
      </c>
      <c r="AN30" s="5" t="s">
        <v>443</v>
      </c>
      <c r="AO30" s="2">
        <v>463</v>
      </c>
      <c r="AP30" s="2">
        <v>1223</v>
      </c>
      <c r="AQ30" s="2">
        <v>1164</v>
      </c>
      <c r="AR30" s="2" t="s">
        <v>1370</v>
      </c>
      <c r="AS30" t="s">
        <v>1322</v>
      </c>
    </row>
    <row r="31" spans="1:45" x14ac:dyDescent="0.35">
      <c r="A31" t="s">
        <v>33</v>
      </c>
      <c r="B31" t="s">
        <v>974</v>
      </c>
      <c r="C31" t="s">
        <v>972</v>
      </c>
      <c r="D31" s="2" t="s">
        <v>592</v>
      </c>
      <c r="E31" s="2" t="s">
        <v>1368</v>
      </c>
      <c r="F31" s="2" t="s">
        <v>716</v>
      </c>
      <c r="G31" s="3">
        <v>1722</v>
      </c>
      <c r="H31" s="3">
        <v>13</v>
      </c>
      <c r="I31" s="3">
        <v>15</v>
      </c>
      <c r="J31" s="3">
        <v>15</v>
      </c>
      <c r="K31" s="3">
        <v>723</v>
      </c>
      <c r="L31" s="3">
        <v>256</v>
      </c>
      <c r="M31" s="3">
        <v>2295</v>
      </c>
      <c r="N31" s="3">
        <v>429</v>
      </c>
      <c r="O31" s="5">
        <v>97</v>
      </c>
      <c r="P31" s="5">
        <v>0.4</v>
      </c>
      <c r="Q31" s="5">
        <v>1</v>
      </c>
      <c r="R31" s="5">
        <v>1.6</v>
      </c>
      <c r="S31" s="5">
        <v>26.3</v>
      </c>
      <c r="T31" s="5">
        <v>6.9</v>
      </c>
      <c r="U31" s="5">
        <v>48.4</v>
      </c>
      <c r="V31" s="5">
        <v>18.399999999999999</v>
      </c>
      <c r="W31" s="5">
        <f t="shared" si="1"/>
        <v>66.8</v>
      </c>
      <c r="X31" s="2">
        <v>0</v>
      </c>
      <c r="Y31" t="s">
        <v>616</v>
      </c>
      <c r="Z31" s="4">
        <v>41502</v>
      </c>
      <c r="AA31" t="s">
        <v>6</v>
      </c>
      <c r="AB31" t="s">
        <v>13</v>
      </c>
      <c r="AC31" t="s">
        <v>1322</v>
      </c>
      <c r="AD31" t="s">
        <v>762</v>
      </c>
      <c r="AE31" t="s">
        <v>1365</v>
      </c>
      <c r="AF31" t="s">
        <v>1376</v>
      </c>
      <c r="AG31" s="6">
        <v>0.13</v>
      </c>
      <c r="AH31" s="2">
        <v>0.03</v>
      </c>
      <c r="AI31" s="5">
        <v>9.4</v>
      </c>
      <c r="AJ31" s="5">
        <v>7.5</v>
      </c>
      <c r="AK31" s="5" t="s">
        <v>443</v>
      </c>
      <c r="AL31" s="5">
        <v>9.8000000000000007</v>
      </c>
      <c r="AM31" s="5">
        <v>30</v>
      </c>
      <c r="AN31" s="5" t="s">
        <v>443</v>
      </c>
      <c r="AO31" s="2">
        <v>44.1</v>
      </c>
      <c r="AP31" s="2">
        <v>84</v>
      </c>
      <c r="AQ31" s="2">
        <v>75</v>
      </c>
      <c r="AR31" s="2" t="s">
        <v>1370</v>
      </c>
      <c r="AS31" t="s">
        <v>1322</v>
      </c>
    </row>
    <row r="32" spans="1:45" x14ac:dyDescent="0.35">
      <c r="A32" t="s">
        <v>34</v>
      </c>
      <c r="B32" t="s">
        <v>974</v>
      </c>
      <c r="C32" t="s">
        <v>972</v>
      </c>
      <c r="D32" s="2" t="s">
        <v>592</v>
      </c>
      <c r="E32" s="2" t="s">
        <v>1368</v>
      </c>
      <c r="F32" s="2" t="s">
        <v>716</v>
      </c>
      <c r="G32" s="3">
        <v>1722</v>
      </c>
      <c r="H32" s="3">
        <v>13</v>
      </c>
      <c r="I32" s="3">
        <v>15</v>
      </c>
      <c r="J32" s="3">
        <v>15</v>
      </c>
      <c r="K32" s="3">
        <v>723</v>
      </c>
      <c r="L32" s="3">
        <v>256</v>
      </c>
      <c r="M32" s="3">
        <v>2295</v>
      </c>
      <c r="N32" s="3">
        <v>429</v>
      </c>
      <c r="O32" s="5">
        <v>97</v>
      </c>
      <c r="P32" s="5">
        <v>0.4</v>
      </c>
      <c r="Q32" s="5">
        <v>1</v>
      </c>
      <c r="R32" s="5">
        <v>1.6</v>
      </c>
      <c r="S32" s="5">
        <v>26.3</v>
      </c>
      <c r="T32" s="5">
        <v>6.9</v>
      </c>
      <c r="U32" s="5">
        <v>48.4</v>
      </c>
      <c r="V32" s="5">
        <v>18.399999999999999</v>
      </c>
      <c r="W32" s="5">
        <f t="shared" si="1"/>
        <v>66.8</v>
      </c>
      <c r="X32" s="2">
        <v>0</v>
      </c>
      <c r="Y32" t="s">
        <v>616</v>
      </c>
      <c r="Z32" s="4">
        <v>41541</v>
      </c>
      <c r="AA32" t="s">
        <v>6</v>
      </c>
      <c r="AB32" t="s">
        <v>13</v>
      </c>
      <c r="AC32" t="s">
        <v>1322</v>
      </c>
      <c r="AD32" t="s">
        <v>763</v>
      </c>
      <c r="AE32" t="s">
        <v>1365</v>
      </c>
      <c r="AF32" t="s">
        <v>1376</v>
      </c>
      <c r="AG32" s="6">
        <v>0.13</v>
      </c>
      <c r="AH32" s="2">
        <v>0.03</v>
      </c>
      <c r="AI32" s="5">
        <v>12.3</v>
      </c>
      <c r="AJ32" s="5">
        <v>9.8000000000000007</v>
      </c>
      <c r="AK32" s="5" t="s">
        <v>443</v>
      </c>
      <c r="AL32" s="5">
        <v>10</v>
      </c>
      <c r="AM32" s="5">
        <v>16</v>
      </c>
      <c r="AN32" s="5" t="s">
        <v>443</v>
      </c>
      <c r="AO32" s="2">
        <v>153.19999999999999</v>
      </c>
      <c r="AP32" s="2">
        <v>128</v>
      </c>
      <c r="AQ32" s="2">
        <v>92</v>
      </c>
      <c r="AR32" s="2" t="s">
        <v>1370</v>
      </c>
      <c r="AS32" t="s">
        <v>1322</v>
      </c>
    </row>
    <row r="33" spans="1:45" x14ac:dyDescent="0.35">
      <c r="A33" t="s">
        <v>35</v>
      </c>
      <c r="B33" t="s">
        <v>974</v>
      </c>
      <c r="C33" t="s">
        <v>972</v>
      </c>
      <c r="D33" s="2" t="s">
        <v>592</v>
      </c>
      <c r="E33" s="2" t="s">
        <v>1368</v>
      </c>
      <c r="F33" s="2" t="s">
        <v>716</v>
      </c>
      <c r="G33" s="3">
        <v>1722</v>
      </c>
      <c r="H33" s="3">
        <v>13</v>
      </c>
      <c r="I33" s="3">
        <v>15</v>
      </c>
      <c r="J33" s="3">
        <v>15</v>
      </c>
      <c r="K33" s="3">
        <v>723</v>
      </c>
      <c r="L33" s="3">
        <v>256</v>
      </c>
      <c r="M33" s="3">
        <v>2295</v>
      </c>
      <c r="N33" s="3">
        <v>429</v>
      </c>
      <c r="O33" s="5">
        <v>97</v>
      </c>
      <c r="P33" s="5">
        <v>0.4</v>
      </c>
      <c r="Q33" s="5">
        <v>1</v>
      </c>
      <c r="R33" s="5">
        <v>1.6</v>
      </c>
      <c r="S33" s="5">
        <v>26.3</v>
      </c>
      <c r="T33" s="5">
        <v>6.9</v>
      </c>
      <c r="U33" s="5">
        <v>48.4</v>
      </c>
      <c r="V33" s="5">
        <v>18.399999999999999</v>
      </c>
      <c r="W33" s="5">
        <f t="shared" si="1"/>
        <v>66.8</v>
      </c>
      <c r="X33" s="2">
        <v>0</v>
      </c>
      <c r="Y33" t="s">
        <v>616</v>
      </c>
      <c r="Z33" s="4">
        <v>41564</v>
      </c>
      <c r="AA33" t="s">
        <v>6</v>
      </c>
      <c r="AB33" t="s">
        <v>13</v>
      </c>
      <c r="AC33" t="s">
        <v>1322</v>
      </c>
      <c r="AD33" t="s">
        <v>764</v>
      </c>
      <c r="AE33" t="s">
        <v>1365</v>
      </c>
      <c r="AF33" t="s">
        <v>1376</v>
      </c>
      <c r="AG33" s="6">
        <v>0.06</v>
      </c>
      <c r="AH33" s="2">
        <v>0.01</v>
      </c>
      <c r="AI33" s="5">
        <v>8</v>
      </c>
      <c r="AJ33" s="5">
        <v>6.4</v>
      </c>
      <c r="AK33" s="5" t="s">
        <v>443</v>
      </c>
      <c r="AL33" s="5">
        <v>10.1</v>
      </c>
      <c r="AM33" s="5">
        <v>17</v>
      </c>
      <c r="AN33" s="5" t="s">
        <v>443</v>
      </c>
      <c r="AO33" s="2">
        <v>259.8</v>
      </c>
      <c r="AP33" s="2">
        <v>101</v>
      </c>
      <c r="AQ33" s="2">
        <v>60</v>
      </c>
      <c r="AR33" s="2" t="s">
        <v>1370</v>
      </c>
      <c r="AS33" t="s">
        <v>1322</v>
      </c>
    </row>
    <row r="34" spans="1:45" x14ac:dyDescent="0.35">
      <c r="A34" t="s">
        <v>19</v>
      </c>
      <c r="B34" t="s">
        <v>973</v>
      </c>
      <c r="C34" t="s">
        <v>972</v>
      </c>
      <c r="D34" s="2" t="s">
        <v>592</v>
      </c>
      <c r="E34" s="2" t="s">
        <v>1368</v>
      </c>
      <c r="F34" s="2" t="s">
        <v>716</v>
      </c>
      <c r="G34" s="3">
        <v>914</v>
      </c>
      <c r="H34" s="3">
        <v>0</v>
      </c>
      <c r="I34" s="3">
        <v>8</v>
      </c>
      <c r="J34" s="3">
        <v>9</v>
      </c>
      <c r="K34" s="3">
        <v>505</v>
      </c>
      <c r="L34" s="3">
        <v>157</v>
      </c>
      <c r="M34" s="3">
        <v>1213</v>
      </c>
      <c r="N34" s="3">
        <v>73</v>
      </c>
      <c r="O34" s="5">
        <v>97.3</v>
      </c>
      <c r="P34" s="5">
        <v>0</v>
      </c>
      <c r="Q34" s="5">
        <v>0.9</v>
      </c>
      <c r="R34" s="5">
        <v>1.8</v>
      </c>
      <c r="S34" s="5">
        <v>35.799999999999997</v>
      </c>
      <c r="T34" s="5">
        <v>8.1999999999999993</v>
      </c>
      <c r="U34" s="5">
        <v>49.9</v>
      </c>
      <c r="V34" s="5">
        <v>6.1</v>
      </c>
      <c r="W34" s="5">
        <f t="shared" si="1"/>
        <v>56</v>
      </c>
      <c r="X34" s="2">
        <v>1</v>
      </c>
      <c r="Y34" t="s">
        <v>609</v>
      </c>
      <c r="Z34" s="4">
        <v>41597</v>
      </c>
      <c r="AA34" t="s">
        <v>10</v>
      </c>
      <c r="AB34" t="s">
        <v>11</v>
      </c>
      <c r="AC34" t="s">
        <v>1322</v>
      </c>
      <c r="AD34" t="s">
        <v>750</v>
      </c>
      <c r="AE34" t="s">
        <v>1365</v>
      </c>
      <c r="AF34" t="s">
        <v>1376</v>
      </c>
      <c r="AG34" s="6">
        <v>0.04</v>
      </c>
      <c r="AH34" s="2">
        <v>0.01</v>
      </c>
      <c r="AI34" s="5">
        <v>11.4</v>
      </c>
      <c r="AJ34" s="5">
        <v>9.1</v>
      </c>
      <c r="AK34" s="5" t="s">
        <v>443</v>
      </c>
      <c r="AL34" s="5">
        <v>10</v>
      </c>
      <c r="AM34" s="5">
        <v>8</v>
      </c>
      <c r="AN34" s="5" t="s">
        <v>443</v>
      </c>
      <c r="AO34" s="2">
        <v>348.9</v>
      </c>
      <c r="AP34" s="2">
        <v>672</v>
      </c>
      <c r="AQ34" s="2">
        <v>626</v>
      </c>
      <c r="AR34" s="2" t="s">
        <v>1370</v>
      </c>
      <c r="AS34" t="s">
        <v>1322</v>
      </c>
    </row>
    <row r="35" spans="1:45" x14ac:dyDescent="0.35">
      <c r="A35" t="s">
        <v>36</v>
      </c>
      <c r="B35" t="s">
        <v>974</v>
      </c>
      <c r="C35" t="s">
        <v>972</v>
      </c>
      <c r="D35" s="2" t="s">
        <v>592</v>
      </c>
      <c r="E35" s="2" t="s">
        <v>1368</v>
      </c>
      <c r="F35" s="2" t="s">
        <v>716</v>
      </c>
      <c r="G35" s="3">
        <v>1722</v>
      </c>
      <c r="H35" s="3">
        <v>13</v>
      </c>
      <c r="I35" s="3">
        <v>15</v>
      </c>
      <c r="J35" s="3">
        <v>15</v>
      </c>
      <c r="K35" s="3">
        <v>723</v>
      </c>
      <c r="L35" s="3">
        <v>256</v>
      </c>
      <c r="M35" s="3">
        <v>2295</v>
      </c>
      <c r="N35" s="3">
        <v>429</v>
      </c>
      <c r="O35" s="5">
        <v>97</v>
      </c>
      <c r="P35" s="5">
        <v>0.4</v>
      </c>
      <c r="Q35" s="5">
        <v>1</v>
      </c>
      <c r="R35" s="5">
        <v>1.6</v>
      </c>
      <c r="S35" s="5">
        <v>26.3</v>
      </c>
      <c r="T35" s="5">
        <v>6.9</v>
      </c>
      <c r="U35" s="5">
        <v>48.4</v>
      </c>
      <c r="V35" s="5">
        <v>18.399999999999999</v>
      </c>
      <c r="W35" s="5">
        <f t="shared" si="1"/>
        <v>66.8</v>
      </c>
      <c r="X35" s="2">
        <v>0</v>
      </c>
      <c r="Y35" t="s">
        <v>616</v>
      </c>
      <c r="Z35" s="4">
        <v>41597</v>
      </c>
      <c r="AA35" t="s">
        <v>6</v>
      </c>
      <c r="AB35" t="s">
        <v>13</v>
      </c>
      <c r="AC35" t="s">
        <v>1322</v>
      </c>
      <c r="AD35" t="s">
        <v>765</v>
      </c>
      <c r="AE35" t="s">
        <v>1365</v>
      </c>
      <c r="AF35" t="s">
        <v>1376</v>
      </c>
      <c r="AG35" s="6">
        <v>0.04</v>
      </c>
      <c r="AH35" s="2">
        <v>0.01</v>
      </c>
      <c r="AI35" s="5">
        <v>9.4</v>
      </c>
      <c r="AJ35" s="5">
        <v>7.5</v>
      </c>
      <c r="AK35" s="5" t="s">
        <v>443</v>
      </c>
      <c r="AL35" s="5">
        <v>10.199999999999999</v>
      </c>
      <c r="AM35" s="5">
        <v>11</v>
      </c>
      <c r="AN35" s="5" t="s">
        <v>443</v>
      </c>
      <c r="AO35" s="2">
        <v>430.2</v>
      </c>
      <c r="AP35" s="2">
        <v>115</v>
      </c>
      <c r="AQ35" s="2">
        <v>74</v>
      </c>
      <c r="AR35" s="2" t="s">
        <v>1370</v>
      </c>
      <c r="AS35" t="s">
        <v>1322</v>
      </c>
    </row>
    <row r="36" spans="1:45" x14ac:dyDescent="0.35">
      <c r="A36" t="s">
        <v>37</v>
      </c>
      <c r="B36" t="s">
        <v>974</v>
      </c>
      <c r="C36" t="s">
        <v>972</v>
      </c>
      <c r="D36" s="2" t="s">
        <v>592</v>
      </c>
      <c r="E36" s="2" t="s">
        <v>1368</v>
      </c>
      <c r="F36" s="2" t="s">
        <v>716</v>
      </c>
      <c r="G36" s="3">
        <v>1722</v>
      </c>
      <c r="H36" s="3">
        <v>13</v>
      </c>
      <c r="I36" s="3">
        <v>15</v>
      </c>
      <c r="J36" s="3">
        <v>15</v>
      </c>
      <c r="K36" s="3">
        <v>723</v>
      </c>
      <c r="L36" s="3">
        <v>256</v>
      </c>
      <c r="M36" s="3">
        <v>2295</v>
      </c>
      <c r="N36" s="3">
        <v>429</v>
      </c>
      <c r="O36" s="5">
        <v>97</v>
      </c>
      <c r="P36" s="5">
        <v>0.4</v>
      </c>
      <c r="Q36" s="5">
        <v>1</v>
      </c>
      <c r="R36" s="5">
        <v>1.6</v>
      </c>
      <c r="S36" s="5">
        <v>26.3</v>
      </c>
      <c r="T36" s="5">
        <v>6.9</v>
      </c>
      <c r="U36" s="5">
        <v>48.4</v>
      </c>
      <c r="V36" s="5">
        <v>18.399999999999999</v>
      </c>
      <c r="W36" s="5">
        <f t="shared" si="1"/>
        <v>66.8</v>
      </c>
      <c r="X36" s="2">
        <v>0</v>
      </c>
      <c r="Y36" t="s">
        <v>616</v>
      </c>
      <c r="Z36" s="4">
        <v>41617</v>
      </c>
      <c r="AA36" t="s">
        <v>6</v>
      </c>
      <c r="AB36" t="s">
        <v>13</v>
      </c>
      <c r="AC36" t="s">
        <v>1322</v>
      </c>
      <c r="AD36" t="s">
        <v>766</v>
      </c>
      <c r="AE36" t="s">
        <v>1365</v>
      </c>
      <c r="AF36" t="s">
        <v>1376</v>
      </c>
      <c r="AG36" s="6">
        <v>0.06</v>
      </c>
      <c r="AH36" s="2">
        <v>0.01</v>
      </c>
      <c r="AI36" s="5">
        <v>6.4</v>
      </c>
      <c r="AJ36" s="5">
        <v>5.0999999999999996</v>
      </c>
      <c r="AK36" s="5" t="s">
        <v>443</v>
      </c>
      <c r="AL36" s="5">
        <v>10.199999999999999</v>
      </c>
      <c r="AM36" s="5">
        <v>4</v>
      </c>
      <c r="AN36" s="5" t="s">
        <v>443</v>
      </c>
      <c r="AO36" s="2">
        <v>455.7</v>
      </c>
      <c r="AP36" s="2">
        <v>96</v>
      </c>
      <c r="AQ36" s="2">
        <v>59</v>
      </c>
      <c r="AR36" s="2" t="s">
        <v>1370</v>
      </c>
      <c r="AS36" t="s">
        <v>1322</v>
      </c>
    </row>
    <row r="37" spans="1:45" x14ac:dyDescent="0.35">
      <c r="A37" t="s">
        <v>20</v>
      </c>
      <c r="B37" t="s">
        <v>973</v>
      </c>
      <c r="C37" t="s">
        <v>972</v>
      </c>
      <c r="D37" s="2" t="s">
        <v>592</v>
      </c>
      <c r="E37" s="2" t="s">
        <v>1368</v>
      </c>
      <c r="F37" s="2" t="s">
        <v>716</v>
      </c>
      <c r="G37" s="3">
        <v>914</v>
      </c>
      <c r="H37" s="3">
        <v>0</v>
      </c>
      <c r="I37" s="3">
        <v>8</v>
      </c>
      <c r="J37" s="3">
        <v>9</v>
      </c>
      <c r="K37" s="3">
        <v>505</v>
      </c>
      <c r="L37" s="3">
        <v>157</v>
      </c>
      <c r="M37" s="3">
        <v>1213</v>
      </c>
      <c r="N37" s="3">
        <v>73</v>
      </c>
      <c r="O37" s="5">
        <v>97.3</v>
      </c>
      <c r="P37" s="5">
        <v>0</v>
      </c>
      <c r="Q37" s="5">
        <v>0.9</v>
      </c>
      <c r="R37" s="5">
        <v>1.8</v>
      </c>
      <c r="S37" s="5">
        <v>35.799999999999997</v>
      </c>
      <c r="T37" s="5">
        <v>8.1999999999999993</v>
      </c>
      <c r="U37" s="5">
        <v>49.9</v>
      </c>
      <c r="V37" s="5">
        <v>6.1</v>
      </c>
      <c r="W37" s="5">
        <f t="shared" si="1"/>
        <v>56</v>
      </c>
      <c r="X37" s="2">
        <v>1</v>
      </c>
      <c r="Y37" t="s">
        <v>609</v>
      </c>
      <c r="Z37" s="4">
        <v>41649</v>
      </c>
      <c r="AA37" t="s">
        <v>10</v>
      </c>
      <c r="AB37" t="s">
        <v>11</v>
      </c>
      <c r="AC37" t="s">
        <v>1322</v>
      </c>
      <c r="AD37" t="s">
        <v>751</v>
      </c>
      <c r="AE37" t="s">
        <v>1365</v>
      </c>
      <c r="AF37" t="s">
        <v>1376</v>
      </c>
      <c r="AG37" s="6">
        <v>0.09</v>
      </c>
      <c r="AH37" s="2">
        <v>0.02</v>
      </c>
      <c r="AI37" s="5">
        <v>9.5</v>
      </c>
      <c r="AJ37" s="5">
        <v>7.6</v>
      </c>
      <c r="AK37" s="5" t="s">
        <v>443</v>
      </c>
      <c r="AL37" s="5">
        <v>9.9</v>
      </c>
      <c r="AM37" s="5">
        <v>5</v>
      </c>
      <c r="AN37" s="5" t="s">
        <v>443</v>
      </c>
      <c r="AO37" s="2">
        <v>379</v>
      </c>
      <c r="AP37" s="2">
        <v>614</v>
      </c>
      <c r="AQ37" s="2">
        <v>595</v>
      </c>
      <c r="AR37" s="2" t="s">
        <v>1370</v>
      </c>
      <c r="AS37" t="s">
        <v>1322</v>
      </c>
    </row>
    <row r="38" spans="1:45" x14ac:dyDescent="0.35">
      <c r="A38" t="s">
        <v>38</v>
      </c>
      <c r="B38" t="s">
        <v>974</v>
      </c>
      <c r="C38" t="s">
        <v>972</v>
      </c>
      <c r="D38" s="2" t="s">
        <v>592</v>
      </c>
      <c r="E38" s="2" t="s">
        <v>1368</v>
      </c>
      <c r="F38" s="2" t="s">
        <v>716</v>
      </c>
      <c r="G38" s="3">
        <v>1722</v>
      </c>
      <c r="H38" s="3">
        <v>13</v>
      </c>
      <c r="I38" s="3">
        <v>15</v>
      </c>
      <c r="J38" s="3">
        <v>15</v>
      </c>
      <c r="K38" s="3">
        <v>723</v>
      </c>
      <c r="L38" s="3">
        <v>256</v>
      </c>
      <c r="M38" s="3">
        <v>2295</v>
      </c>
      <c r="N38" s="3">
        <v>429</v>
      </c>
      <c r="O38" s="5">
        <v>97</v>
      </c>
      <c r="P38" s="5">
        <v>0.4</v>
      </c>
      <c r="Q38" s="5">
        <v>1</v>
      </c>
      <c r="R38" s="5">
        <v>1.6</v>
      </c>
      <c r="S38" s="5">
        <v>26.3</v>
      </c>
      <c r="T38" s="5">
        <v>6.9</v>
      </c>
      <c r="U38" s="5">
        <v>48.4</v>
      </c>
      <c r="V38" s="5">
        <v>18.399999999999999</v>
      </c>
      <c r="W38" s="5">
        <f t="shared" si="1"/>
        <v>66.8</v>
      </c>
      <c r="X38" s="2">
        <v>0</v>
      </c>
      <c r="Y38" t="s">
        <v>616</v>
      </c>
      <c r="Z38" s="4">
        <v>41649</v>
      </c>
      <c r="AA38" t="s">
        <v>6</v>
      </c>
      <c r="AB38" t="s">
        <v>13</v>
      </c>
      <c r="AC38" t="s">
        <v>1322</v>
      </c>
      <c r="AD38" t="s">
        <v>767</v>
      </c>
      <c r="AE38" t="s">
        <v>1365</v>
      </c>
      <c r="AF38" t="s">
        <v>1376</v>
      </c>
      <c r="AG38" s="6">
        <v>0.04</v>
      </c>
      <c r="AH38" s="2">
        <v>0.01</v>
      </c>
      <c r="AI38" s="5">
        <v>8</v>
      </c>
      <c r="AJ38" s="5">
        <v>6.4</v>
      </c>
      <c r="AK38" s="5" t="s">
        <v>443</v>
      </c>
      <c r="AL38" s="5">
        <v>10.199999999999999</v>
      </c>
      <c r="AM38" s="5">
        <v>6</v>
      </c>
      <c r="AN38" s="5" t="s">
        <v>443</v>
      </c>
      <c r="AO38" s="2">
        <v>1043.7</v>
      </c>
      <c r="AP38" s="2">
        <v>138</v>
      </c>
      <c r="AQ38" s="2">
        <v>64</v>
      </c>
      <c r="AR38" s="2" t="s">
        <v>1370</v>
      </c>
      <c r="AS38" t="s">
        <v>1322</v>
      </c>
    </row>
    <row r="39" spans="1:45" x14ac:dyDescent="0.35">
      <c r="A39" t="s">
        <v>21</v>
      </c>
      <c r="B39" t="s">
        <v>973</v>
      </c>
      <c r="C39" t="s">
        <v>972</v>
      </c>
      <c r="D39" s="2" t="s">
        <v>592</v>
      </c>
      <c r="E39" s="2" t="s">
        <v>1368</v>
      </c>
      <c r="F39" s="2" t="s">
        <v>716</v>
      </c>
      <c r="G39" s="3">
        <v>914</v>
      </c>
      <c r="H39" s="3">
        <v>0</v>
      </c>
      <c r="I39" s="3">
        <v>8</v>
      </c>
      <c r="J39" s="3">
        <v>9</v>
      </c>
      <c r="K39" s="3">
        <v>505</v>
      </c>
      <c r="L39" s="3">
        <v>157</v>
      </c>
      <c r="M39" s="3">
        <v>1213</v>
      </c>
      <c r="N39" s="3">
        <v>73</v>
      </c>
      <c r="O39" s="5">
        <v>97.3</v>
      </c>
      <c r="P39" s="5">
        <v>0</v>
      </c>
      <c r="Q39" s="5">
        <v>0.9</v>
      </c>
      <c r="R39" s="5">
        <v>1.8</v>
      </c>
      <c r="S39" s="5">
        <v>35.799999999999997</v>
      </c>
      <c r="T39" s="5">
        <v>8.1999999999999993</v>
      </c>
      <c r="U39" s="5">
        <v>49.9</v>
      </c>
      <c r="V39" s="5">
        <v>6.1</v>
      </c>
      <c r="W39" s="5">
        <f t="shared" si="1"/>
        <v>56</v>
      </c>
      <c r="X39" s="2">
        <v>1</v>
      </c>
      <c r="Y39" t="s">
        <v>609</v>
      </c>
      <c r="Z39" s="4">
        <v>41696</v>
      </c>
      <c r="AA39" t="s">
        <v>10</v>
      </c>
      <c r="AB39" t="s">
        <v>11</v>
      </c>
      <c r="AC39" t="s">
        <v>1322</v>
      </c>
      <c r="AD39" t="s">
        <v>752</v>
      </c>
      <c r="AE39" t="s">
        <v>1365</v>
      </c>
      <c r="AF39" t="s">
        <v>1376</v>
      </c>
      <c r="AG39" s="6">
        <v>0.18</v>
      </c>
      <c r="AH39" s="2">
        <v>0.05</v>
      </c>
      <c r="AI39" s="5">
        <v>4.5</v>
      </c>
      <c r="AJ39" s="5">
        <v>3.6</v>
      </c>
      <c r="AK39" s="5" t="s">
        <v>443</v>
      </c>
      <c r="AL39" s="5">
        <v>9.1</v>
      </c>
      <c r="AM39" s="5">
        <v>7</v>
      </c>
      <c r="AN39" s="5" t="s">
        <v>443</v>
      </c>
      <c r="AO39" s="2">
        <v>148.5</v>
      </c>
      <c r="AP39" s="2">
        <v>294</v>
      </c>
      <c r="AQ39" s="2">
        <v>276</v>
      </c>
      <c r="AR39" s="2" t="s">
        <v>1370</v>
      </c>
      <c r="AS39" t="s">
        <v>1322</v>
      </c>
    </row>
    <row r="40" spans="1:45" ht="17" customHeight="1" x14ac:dyDescent="0.35">
      <c r="A40" t="s">
        <v>39</v>
      </c>
      <c r="B40" t="s">
        <v>974</v>
      </c>
      <c r="C40" t="s">
        <v>972</v>
      </c>
      <c r="D40" s="2" t="s">
        <v>592</v>
      </c>
      <c r="E40" s="2" t="s">
        <v>1368</v>
      </c>
      <c r="F40" s="2" t="s">
        <v>716</v>
      </c>
      <c r="G40" s="3">
        <v>1722</v>
      </c>
      <c r="H40" s="3">
        <v>13</v>
      </c>
      <c r="I40" s="3">
        <v>15</v>
      </c>
      <c r="J40" s="3">
        <v>15</v>
      </c>
      <c r="K40" s="3">
        <v>723</v>
      </c>
      <c r="L40" s="3">
        <v>256</v>
      </c>
      <c r="M40" s="3">
        <v>2295</v>
      </c>
      <c r="N40" s="3">
        <v>429</v>
      </c>
      <c r="O40" s="5">
        <v>97</v>
      </c>
      <c r="P40" s="5">
        <v>0.4</v>
      </c>
      <c r="Q40" s="5">
        <v>1</v>
      </c>
      <c r="R40" s="5">
        <v>1.6</v>
      </c>
      <c r="S40" s="5">
        <v>26.3</v>
      </c>
      <c r="T40" s="5">
        <v>6.9</v>
      </c>
      <c r="U40" s="5">
        <v>48.4</v>
      </c>
      <c r="V40" s="5">
        <v>18.399999999999999</v>
      </c>
      <c r="W40" s="5">
        <f t="shared" si="1"/>
        <v>66.8</v>
      </c>
      <c r="X40" s="2">
        <v>0</v>
      </c>
      <c r="Y40" t="s">
        <v>616</v>
      </c>
      <c r="Z40" s="4">
        <v>41696</v>
      </c>
      <c r="AA40" t="s">
        <v>6</v>
      </c>
      <c r="AB40" t="s">
        <v>13</v>
      </c>
      <c r="AC40" t="s">
        <v>1322</v>
      </c>
      <c r="AD40" t="s">
        <v>768</v>
      </c>
      <c r="AE40" t="s">
        <v>1365</v>
      </c>
      <c r="AF40" t="s">
        <v>1376</v>
      </c>
      <c r="AG40" s="6">
        <v>0.12</v>
      </c>
      <c r="AH40" s="2">
        <v>0.02</v>
      </c>
      <c r="AI40" s="5">
        <v>4.8</v>
      </c>
      <c r="AJ40" s="5">
        <v>3.8</v>
      </c>
      <c r="AK40" s="5" t="s">
        <v>443</v>
      </c>
      <c r="AL40" s="5">
        <v>9.6</v>
      </c>
      <c r="AM40" s="5">
        <v>10</v>
      </c>
      <c r="AN40" s="5" t="s">
        <v>443</v>
      </c>
      <c r="AO40" s="2">
        <v>1499.4</v>
      </c>
      <c r="AP40" s="2">
        <v>127</v>
      </c>
      <c r="AQ40" s="2">
        <v>41</v>
      </c>
      <c r="AR40" s="2" t="s">
        <v>1370</v>
      </c>
      <c r="AS40" t="s">
        <v>1322</v>
      </c>
    </row>
    <row r="41" spans="1:45" x14ac:dyDescent="0.35">
      <c r="A41" t="s">
        <v>22</v>
      </c>
      <c r="B41" t="s">
        <v>973</v>
      </c>
      <c r="C41" t="s">
        <v>972</v>
      </c>
      <c r="D41" s="2" t="s">
        <v>592</v>
      </c>
      <c r="E41" s="2" t="s">
        <v>1368</v>
      </c>
      <c r="F41" s="2" t="s">
        <v>716</v>
      </c>
      <c r="G41" s="3">
        <v>914</v>
      </c>
      <c r="H41" s="3">
        <v>0</v>
      </c>
      <c r="I41" s="3">
        <v>8</v>
      </c>
      <c r="J41" s="3">
        <v>9</v>
      </c>
      <c r="K41" s="3">
        <v>505</v>
      </c>
      <c r="L41" s="3">
        <v>157</v>
      </c>
      <c r="M41" s="3">
        <v>1213</v>
      </c>
      <c r="N41" s="3">
        <v>73</v>
      </c>
      <c r="O41" s="5">
        <v>97.3</v>
      </c>
      <c r="P41" s="5">
        <v>0</v>
      </c>
      <c r="Q41" s="5">
        <v>0.9</v>
      </c>
      <c r="R41" s="5">
        <v>1.8</v>
      </c>
      <c r="S41" s="5">
        <v>35.799999999999997</v>
      </c>
      <c r="T41" s="5">
        <v>8.1999999999999993</v>
      </c>
      <c r="U41" s="5">
        <v>49.9</v>
      </c>
      <c r="V41" s="5">
        <v>6.1</v>
      </c>
      <c r="W41" s="5">
        <f t="shared" si="1"/>
        <v>56</v>
      </c>
      <c r="X41" s="2">
        <v>1</v>
      </c>
      <c r="Y41" t="s">
        <v>609</v>
      </c>
      <c r="Z41" s="4">
        <v>41724</v>
      </c>
      <c r="AA41" t="s">
        <v>10</v>
      </c>
      <c r="AB41" t="s">
        <v>11</v>
      </c>
      <c r="AC41" t="s">
        <v>1322</v>
      </c>
      <c r="AD41" t="s">
        <v>753</v>
      </c>
      <c r="AE41" t="s">
        <v>1365</v>
      </c>
      <c r="AF41" t="s">
        <v>1376</v>
      </c>
      <c r="AG41" s="6">
        <v>0.13</v>
      </c>
      <c r="AH41" s="2">
        <v>0.03</v>
      </c>
      <c r="AI41" s="5">
        <v>6.8</v>
      </c>
      <c r="AJ41" s="5">
        <v>5.4</v>
      </c>
      <c r="AK41" s="5" t="s">
        <v>443</v>
      </c>
      <c r="AL41" s="5">
        <v>9.1999999999999993</v>
      </c>
      <c r="AM41" s="5">
        <v>11</v>
      </c>
      <c r="AN41" s="5" t="s">
        <v>443</v>
      </c>
      <c r="AO41" s="2">
        <v>64.900000000000006</v>
      </c>
      <c r="AP41" s="2">
        <v>459</v>
      </c>
      <c r="AQ41" s="2">
        <v>449</v>
      </c>
      <c r="AR41" s="2" t="s">
        <v>1370</v>
      </c>
      <c r="AS41" t="s">
        <v>1322</v>
      </c>
    </row>
    <row r="42" spans="1:45" x14ac:dyDescent="0.35">
      <c r="A42" t="s">
        <v>40</v>
      </c>
      <c r="B42" t="s">
        <v>974</v>
      </c>
      <c r="C42" t="s">
        <v>972</v>
      </c>
      <c r="D42" s="2" t="s">
        <v>592</v>
      </c>
      <c r="E42" s="2" t="s">
        <v>1368</v>
      </c>
      <c r="F42" s="2" t="s">
        <v>716</v>
      </c>
      <c r="G42" s="3">
        <v>1722</v>
      </c>
      <c r="H42" s="3">
        <v>13</v>
      </c>
      <c r="I42" s="3">
        <v>15</v>
      </c>
      <c r="J42" s="3">
        <v>15</v>
      </c>
      <c r="K42" s="3">
        <v>723</v>
      </c>
      <c r="L42" s="3">
        <v>256</v>
      </c>
      <c r="M42" s="3">
        <v>2295</v>
      </c>
      <c r="N42" s="3">
        <v>429</v>
      </c>
      <c r="O42" s="5">
        <v>97</v>
      </c>
      <c r="P42" s="5">
        <v>0.4</v>
      </c>
      <c r="Q42" s="5">
        <v>1</v>
      </c>
      <c r="R42" s="5">
        <v>1.6</v>
      </c>
      <c r="S42" s="5">
        <v>26.3</v>
      </c>
      <c r="T42" s="5">
        <v>6.9</v>
      </c>
      <c r="U42" s="5">
        <v>48.4</v>
      </c>
      <c r="V42" s="5">
        <v>18.399999999999999</v>
      </c>
      <c r="W42" s="5">
        <f t="shared" si="1"/>
        <v>66.8</v>
      </c>
      <c r="X42" s="2">
        <v>0</v>
      </c>
      <c r="Y42" t="s">
        <v>616</v>
      </c>
      <c r="Z42" s="4">
        <v>41724</v>
      </c>
      <c r="AA42" t="s">
        <v>6</v>
      </c>
      <c r="AB42" t="s">
        <v>13</v>
      </c>
      <c r="AC42" t="s">
        <v>1322</v>
      </c>
      <c r="AD42" t="s">
        <v>769</v>
      </c>
      <c r="AE42" t="s">
        <v>1365</v>
      </c>
      <c r="AF42" t="s">
        <v>1376</v>
      </c>
      <c r="AG42" s="6">
        <v>7.0000000000000007E-2</v>
      </c>
      <c r="AH42" s="2">
        <v>0.01</v>
      </c>
      <c r="AI42" s="5">
        <v>6.4</v>
      </c>
      <c r="AJ42" s="5">
        <v>5.0999999999999996</v>
      </c>
      <c r="AK42" s="5" t="s">
        <v>443</v>
      </c>
      <c r="AL42" s="5">
        <v>9.6999999999999993</v>
      </c>
      <c r="AM42" s="5">
        <v>14</v>
      </c>
      <c r="AN42" s="5" t="s">
        <v>443</v>
      </c>
      <c r="AO42" s="2">
        <v>2555.5</v>
      </c>
      <c r="AP42" s="2">
        <v>180</v>
      </c>
      <c r="AQ42" s="2">
        <v>53</v>
      </c>
      <c r="AR42" s="2" t="s">
        <v>1370</v>
      </c>
      <c r="AS42" t="s">
        <v>1322</v>
      </c>
    </row>
    <row r="43" spans="1:45" x14ac:dyDescent="0.35">
      <c r="A43" t="s">
        <v>23</v>
      </c>
      <c r="B43" t="s">
        <v>973</v>
      </c>
      <c r="C43" t="s">
        <v>972</v>
      </c>
      <c r="D43" s="2" t="s">
        <v>592</v>
      </c>
      <c r="E43" s="2" t="s">
        <v>1368</v>
      </c>
      <c r="F43" s="2" t="s">
        <v>716</v>
      </c>
      <c r="G43" s="3">
        <v>914</v>
      </c>
      <c r="H43" s="3">
        <v>0</v>
      </c>
      <c r="I43" s="3">
        <v>8</v>
      </c>
      <c r="J43" s="3">
        <v>9</v>
      </c>
      <c r="K43" s="3">
        <v>505</v>
      </c>
      <c r="L43" s="3">
        <v>157</v>
      </c>
      <c r="M43" s="3">
        <v>1213</v>
      </c>
      <c r="N43" s="3">
        <v>73</v>
      </c>
      <c r="O43" s="5">
        <v>97.3</v>
      </c>
      <c r="P43" s="5">
        <v>0</v>
      </c>
      <c r="Q43" s="5">
        <v>0.9</v>
      </c>
      <c r="R43" s="5">
        <v>1.8</v>
      </c>
      <c r="S43" s="5">
        <v>35.799999999999997</v>
      </c>
      <c r="T43" s="5">
        <v>8.1999999999999993</v>
      </c>
      <c r="U43" s="5">
        <v>49.9</v>
      </c>
      <c r="V43" s="5">
        <v>6.1</v>
      </c>
      <c r="W43" s="5">
        <f t="shared" si="1"/>
        <v>56</v>
      </c>
      <c r="X43" s="2">
        <v>1</v>
      </c>
      <c r="Y43" t="s">
        <v>609</v>
      </c>
      <c r="Z43" s="4">
        <v>41752</v>
      </c>
      <c r="AA43" t="s">
        <v>10</v>
      </c>
      <c r="AB43" t="s">
        <v>11</v>
      </c>
      <c r="AC43" t="s">
        <v>1322</v>
      </c>
      <c r="AD43" t="s">
        <v>754</v>
      </c>
      <c r="AE43" t="s">
        <v>1365</v>
      </c>
      <c r="AF43" t="s">
        <v>1376</v>
      </c>
      <c r="AG43" s="6">
        <v>0.08</v>
      </c>
      <c r="AH43" s="2">
        <v>0.02</v>
      </c>
      <c r="AI43" s="5">
        <v>10.7</v>
      </c>
      <c r="AJ43" s="5">
        <v>8.6</v>
      </c>
      <c r="AK43" s="5" t="s">
        <v>443</v>
      </c>
      <c r="AL43" s="5">
        <v>9.3000000000000007</v>
      </c>
      <c r="AM43" s="5">
        <v>21</v>
      </c>
      <c r="AN43" s="5" t="s">
        <v>443</v>
      </c>
      <c r="AO43" s="2">
        <v>49.4</v>
      </c>
      <c r="AP43" s="2">
        <v>697</v>
      </c>
      <c r="AQ43" s="2">
        <v>682</v>
      </c>
      <c r="AR43" s="2" t="s">
        <v>1370</v>
      </c>
      <c r="AS43" t="s">
        <v>1322</v>
      </c>
    </row>
    <row r="44" spans="1:45" x14ac:dyDescent="0.35">
      <c r="A44" t="s">
        <v>26</v>
      </c>
      <c r="B44" t="s">
        <v>1004</v>
      </c>
      <c r="C44" t="s">
        <v>972</v>
      </c>
      <c r="D44" s="2" t="s">
        <v>592</v>
      </c>
      <c r="E44" s="2" t="s">
        <v>1368</v>
      </c>
      <c r="F44" s="2" t="s">
        <v>716</v>
      </c>
      <c r="G44" s="3">
        <v>1145</v>
      </c>
      <c r="H44" s="3">
        <v>8</v>
      </c>
      <c r="I44" s="3">
        <v>7</v>
      </c>
      <c r="J44" s="3">
        <v>9</v>
      </c>
      <c r="K44" s="3">
        <v>592</v>
      </c>
      <c r="L44" s="3">
        <v>255</v>
      </c>
      <c r="M44" s="3">
        <v>1893</v>
      </c>
      <c r="N44" s="3">
        <v>47</v>
      </c>
      <c r="O44" s="5">
        <v>97.4</v>
      </c>
      <c r="P44" s="5">
        <v>0.4</v>
      </c>
      <c r="Q44" s="5">
        <v>0.7</v>
      </c>
      <c r="R44" s="5">
        <v>1.5</v>
      </c>
      <c r="S44" s="5">
        <v>30.6</v>
      </c>
      <c r="T44" s="5">
        <v>9.6999999999999993</v>
      </c>
      <c r="U44" s="5">
        <v>56.8</v>
      </c>
      <c r="V44" s="5">
        <v>2.9</v>
      </c>
      <c r="W44" s="5">
        <f t="shared" si="1"/>
        <v>59.699999999999996</v>
      </c>
      <c r="X44" s="3">
        <v>-3.3105330053329696</v>
      </c>
      <c r="Y44" t="s">
        <v>1323</v>
      </c>
      <c r="Z44" s="4">
        <v>41752</v>
      </c>
      <c r="AA44" t="s">
        <v>27</v>
      </c>
      <c r="AB44" t="s">
        <v>28</v>
      </c>
      <c r="AC44" t="s">
        <v>1323</v>
      </c>
      <c r="AD44" t="s">
        <v>757</v>
      </c>
      <c r="AE44" t="s">
        <v>1365</v>
      </c>
      <c r="AF44" t="s">
        <v>1376</v>
      </c>
      <c r="AG44" s="6">
        <v>0.05</v>
      </c>
      <c r="AH44" s="2">
        <v>0.04</v>
      </c>
      <c r="AI44" s="5">
        <v>15.5</v>
      </c>
      <c r="AJ44" s="5">
        <v>12.4</v>
      </c>
      <c r="AK44" s="5" t="s">
        <v>443</v>
      </c>
      <c r="AL44" s="5">
        <v>10.199999999999999</v>
      </c>
      <c r="AM44" s="2" t="s">
        <v>443</v>
      </c>
      <c r="AN44" s="5" t="s">
        <v>443</v>
      </c>
      <c r="AO44" s="2">
        <v>10.6</v>
      </c>
      <c r="AP44" s="2">
        <v>1143</v>
      </c>
      <c r="AQ44" s="2" t="s">
        <v>443</v>
      </c>
      <c r="AR44" s="2" t="s">
        <v>1370</v>
      </c>
      <c r="AS44" t="s">
        <v>1323</v>
      </c>
    </row>
    <row r="45" spans="1:45" x14ac:dyDescent="0.35">
      <c r="A45" t="s">
        <v>41</v>
      </c>
      <c r="B45" t="s">
        <v>974</v>
      </c>
      <c r="C45" t="s">
        <v>972</v>
      </c>
      <c r="D45" s="2" t="s">
        <v>592</v>
      </c>
      <c r="E45" s="2" t="s">
        <v>1368</v>
      </c>
      <c r="F45" s="2" t="s">
        <v>716</v>
      </c>
      <c r="G45" s="3">
        <v>1722</v>
      </c>
      <c r="H45" s="3">
        <v>13</v>
      </c>
      <c r="I45" s="3">
        <v>15</v>
      </c>
      <c r="J45" s="3">
        <v>15</v>
      </c>
      <c r="K45" s="3">
        <v>723</v>
      </c>
      <c r="L45" s="3">
        <v>256</v>
      </c>
      <c r="M45" s="3">
        <v>2295</v>
      </c>
      <c r="N45" s="3">
        <v>429</v>
      </c>
      <c r="O45" s="5">
        <v>97</v>
      </c>
      <c r="P45" s="5">
        <v>0.4</v>
      </c>
      <c r="Q45" s="5">
        <v>1</v>
      </c>
      <c r="R45" s="5">
        <v>1.6</v>
      </c>
      <c r="S45" s="5">
        <v>26.3</v>
      </c>
      <c r="T45" s="5">
        <v>6.9</v>
      </c>
      <c r="U45" s="5">
        <v>48.4</v>
      </c>
      <c r="V45" s="5">
        <v>18.399999999999999</v>
      </c>
      <c r="W45" s="5">
        <f t="shared" si="1"/>
        <v>66.8</v>
      </c>
      <c r="X45" s="2">
        <v>0</v>
      </c>
      <c r="Y45" t="s">
        <v>616</v>
      </c>
      <c r="Z45" s="4">
        <v>41752</v>
      </c>
      <c r="AA45" t="s">
        <v>6</v>
      </c>
      <c r="AB45" t="s">
        <v>13</v>
      </c>
      <c r="AC45" t="s">
        <v>1322</v>
      </c>
      <c r="AD45" t="s">
        <v>770</v>
      </c>
      <c r="AE45" t="s">
        <v>1365</v>
      </c>
      <c r="AF45" t="s">
        <v>1376</v>
      </c>
      <c r="AG45" s="6">
        <v>0.03</v>
      </c>
      <c r="AH45" s="2">
        <v>0.01</v>
      </c>
      <c r="AI45" s="5">
        <v>9</v>
      </c>
      <c r="AJ45" s="5">
        <v>7.2</v>
      </c>
      <c r="AK45" s="5" t="s">
        <v>443</v>
      </c>
      <c r="AL45" s="5">
        <v>9.6999999999999993</v>
      </c>
      <c r="AM45" s="5">
        <v>25</v>
      </c>
      <c r="AN45" s="5" t="s">
        <v>443</v>
      </c>
      <c r="AO45" s="2">
        <v>822</v>
      </c>
      <c r="AP45" s="2">
        <v>221</v>
      </c>
      <c r="AQ45" s="2">
        <v>74</v>
      </c>
      <c r="AR45" s="2" t="s">
        <v>1370</v>
      </c>
      <c r="AS45" t="s">
        <v>1322</v>
      </c>
    </row>
    <row r="46" spans="1:45" x14ac:dyDescent="0.35">
      <c r="A46" t="s">
        <v>24</v>
      </c>
      <c r="B46" t="s">
        <v>973</v>
      </c>
      <c r="C46" t="s">
        <v>972</v>
      </c>
      <c r="D46" s="2" t="s">
        <v>592</v>
      </c>
      <c r="E46" s="2" t="s">
        <v>1368</v>
      </c>
      <c r="F46" s="2" t="s">
        <v>716</v>
      </c>
      <c r="G46" s="3">
        <v>914</v>
      </c>
      <c r="H46" s="3">
        <v>0</v>
      </c>
      <c r="I46" s="3">
        <v>8</v>
      </c>
      <c r="J46" s="3">
        <v>9</v>
      </c>
      <c r="K46" s="3">
        <v>505</v>
      </c>
      <c r="L46" s="3">
        <v>157</v>
      </c>
      <c r="M46" s="3">
        <v>1213</v>
      </c>
      <c r="N46" s="3">
        <v>73</v>
      </c>
      <c r="O46" s="5">
        <v>97.3</v>
      </c>
      <c r="P46" s="5">
        <v>0</v>
      </c>
      <c r="Q46" s="5">
        <v>0.9</v>
      </c>
      <c r="R46" s="5">
        <v>1.8</v>
      </c>
      <c r="S46" s="5">
        <v>35.799999999999997</v>
      </c>
      <c r="T46" s="5">
        <v>8.1999999999999993</v>
      </c>
      <c r="U46" s="5">
        <v>49.9</v>
      </c>
      <c r="V46" s="5">
        <v>6.1</v>
      </c>
      <c r="W46" s="5">
        <f t="shared" si="1"/>
        <v>56</v>
      </c>
      <c r="X46" s="2">
        <v>1</v>
      </c>
      <c r="Y46" t="s">
        <v>609</v>
      </c>
      <c r="Z46" s="4">
        <v>41781</v>
      </c>
      <c r="AA46" t="s">
        <v>10</v>
      </c>
      <c r="AB46" t="s">
        <v>11</v>
      </c>
      <c r="AC46" t="s">
        <v>1322</v>
      </c>
      <c r="AD46" t="s">
        <v>755</v>
      </c>
      <c r="AE46" t="s">
        <v>1365</v>
      </c>
      <c r="AF46" t="s">
        <v>1376</v>
      </c>
      <c r="AG46" s="6">
        <v>0.13</v>
      </c>
      <c r="AH46" s="2">
        <v>0.02</v>
      </c>
      <c r="AI46" s="5">
        <v>7.7</v>
      </c>
      <c r="AJ46" s="5">
        <v>6.2</v>
      </c>
      <c r="AK46" s="5" t="s">
        <v>443</v>
      </c>
      <c r="AL46" s="5">
        <v>9.3000000000000007</v>
      </c>
      <c r="AM46" s="5">
        <v>25</v>
      </c>
      <c r="AN46" s="5" t="s">
        <v>443</v>
      </c>
      <c r="AO46" s="2">
        <v>2.2000000000000002</v>
      </c>
      <c r="AP46" s="2">
        <v>476</v>
      </c>
      <c r="AQ46" s="2">
        <v>466</v>
      </c>
      <c r="AR46" s="2" t="s">
        <v>1370</v>
      </c>
      <c r="AS46" t="s">
        <v>1322</v>
      </c>
    </row>
    <row r="47" spans="1:45" x14ac:dyDescent="0.35">
      <c r="A47" t="s">
        <v>42</v>
      </c>
      <c r="B47" t="s">
        <v>974</v>
      </c>
      <c r="C47" t="s">
        <v>972</v>
      </c>
      <c r="D47" s="2" t="s">
        <v>592</v>
      </c>
      <c r="E47" s="2" t="s">
        <v>1368</v>
      </c>
      <c r="F47" s="2" t="s">
        <v>716</v>
      </c>
      <c r="G47" s="3">
        <v>1722</v>
      </c>
      <c r="H47" s="3">
        <v>13</v>
      </c>
      <c r="I47" s="3">
        <v>15</v>
      </c>
      <c r="J47" s="3">
        <v>15</v>
      </c>
      <c r="K47" s="3">
        <v>723</v>
      </c>
      <c r="L47" s="3">
        <v>256</v>
      </c>
      <c r="M47" s="3">
        <v>2295</v>
      </c>
      <c r="N47" s="3">
        <v>429</v>
      </c>
      <c r="O47" s="5">
        <v>97</v>
      </c>
      <c r="P47" s="5">
        <v>0.4</v>
      </c>
      <c r="Q47" s="5">
        <v>1</v>
      </c>
      <c r="R47" s="5">
        <v>1.6</v>
      </c>
      <c r="S47" s="5">
        <v>26.3</v>
      </c>
      <c r="T47" s="5">
        <v>6.9</v>
      </c>
      <c r="U47" s="5">
        <v>48.4</v>
      </c>
      <c r="V47" s="5">
        <v>18.399999999999999</v>
      </c>
      <c r="W47" s="5">
        <f t="shared" si="1"/>
        <v>66.8</v>
      </c>
      <c r="X47" s="2">
        <v>0</v>
      </c>
      <c r="Y47" t="s">
        <v>616</v>
      </c>
      <c r="Z47" s="4">
        <v>41781</v>
      </c>
      <c r="AA47" t="s">
        <v>6</v>
      </c>
      <c r="AB47" t="s">
        <v>13</v>
      </c>
      <c r="AC47" t="s">
        <v>1322</v>
      </c>
      <c r="AD47" t="s">
        <v>771</v>
      </c>
      <c r="AE47" t="s">
        <v>1365</v>
      </c>
      <c r="AF47" t="s">
        <v>1376</v>
      </c>
      <c r="AG47" s="6">
        <v>0.03</v>
      </c>
      <c r="AH47" s="2">
        <v>0.01</v>
      </c>
      <c r="AI47" s="5">
        <v>8.3000000000000007</v>
      </c>
      <c r="AJ47" s="5">
        <v>6.6</v>
      </c>
      <c r="AK47" s="5" t="s">
        <v>443</v>
      </c>
      <c r="AL47" s="5">
        <v>9.4</v>
      </c>
      <c r="AM47" s="5">
        <v>28</v>
      </c>
      <c r="AN47" s="5" t="s">
        <v>443</v>
      </c>
      <c r="AO47" s="2">
        <v>59.6</v>
      </c>
      <c r="AP47" s="2">
        <v>152</v>
      </c>
      <c r="AQ47" s="2">
        <v>97</v>
      </c>
      <c r="AR47" s="2" t="s">
        <v>1370</v>
      </c>
      <c r="AS47" t="s">
        <v>1322</v>
      </c>
    </row>
    <row r="48" spans="1:45" x14ac:dyDescent="0.35">
      <c r="A48" t="s">
        <v>25</v>
      </c>
      <c r="B48" t="s">
        <v>973</v>
      </c>
      <c r="C48" t="s">
        <v>972</v>
      </c>
      <c r="D48" s="2" t="s">
        <v>592</v>
      </c>
      <c r="E48" s="2" t="s">
        <v>1368</v>
      </c>
      <c r="F48" s="2" t="s">
        <v>716</v>
      </c>
      <c r="G48" s="3">
        <v>914</v>
      </c>
      <c r="H48" s="3">
        <v>0</v>
      </c>
      <c r="I48" s="3">
        <v>8</v>
      </c>
      <c r="J48" s="3">
        <v>9</v>
      </c>
      <c r="K48" s="3">
        <v>505</v>
      </c>
      <c r="L48" s="3">
        <v>157</v>
      </c>
      <c r="M48" s="3">
        <v>1213</v>
      </c>
      <c r="N48" s="3">
        <v>73</v>
      </c>
      <c r="O48" s="5">
        <v>97.3</v>
      </c>
      <c r="P48" s="5">
        <v>0</v>
      </c>
      <c r="Q48" s="5">
        <v>0.9</v>
      </c>
      <c r="R48" s="5">
        <v>1.8</v>
      </c>
      <c r="S48" s="5">
        <v>35.799999999999997</v>
      </c>
      <c r="T48" s="5">
        <v>8.1999999999999993</v>
      </c>
      <c r="U48" s="5">
        <v>49.9</v>
      </c>
      <c r="V48" s="5">
        <v>6.1</v>
      </c>
      <c r="W48" s="5">
        <f t="shared" si="1"/>
        <v>56</v>
      </c>
      <c r="X48" s="2">
        <v>1</v>
      </c>
      <c r="Y48" t="s">
        <v>609</v>
      </c>
      <c r="Z48" s="4">
        <v>41808</v>
      </c>
      <c r="AA48" t="s">
        <v>10</v>
      </c>
      <c r="AB48" t="s">
        <v>11</v>
      </c>
      <c r="AC48" t="s">
        <v>1322</v>
      </c>
      <c r="AD48" t="s">
        <v>756</v>
      </c>
      <c r="AE48" t="s">
        <v>1365</v>
      </c>
      <c r="AF48" t="s">
        <v>1376</v>
      </c>
      <c r="AG48" s="6">
        <v>7.0000000000000007E-2</v>
      </c>
      <c r="AH48" s="2">
        <v>0.02</v>
      </c>
      <c r="AI48" s="5">
        <v>15</v>
      </c>
      <c r="AJ48" s="5">
        <v>12</v>
      </c>
      <c r="AK48" s="5" t="s">
        <v>443</v>
      </c>
      <c r="AL48" s="5">
        <v>9.6</v>
      </c>
      <c r="AM48" s="5">
        <v>24</v>
      </c>
      <c r="AN48" s="5" t="s">
        <v>443</v>
      </c>
      <c r="AO48" s="2">
        <v>92</v>
      </c>
      <c r="AP48" s="2">
        <v>855</v>
      </c>
      <c r="AQ48" s="2">
        <v>830</v>
      </c>
      <c r="AR48" s="2" t="s">
        <v>1370</v>
      </c>
      <c r="AS48" t="s">
        <v>1322</v>
      </c>
    </row>
    <row r="49" spans="1:45" x14ac:dyDescent="0.35">
      <c r="A49" t="s">
        <v>43</v>
      </c>
      <c r="B49" t="s">
        <v>974</v>
      </c>
      <c r="C49" t="s">
        <v>972</v>
      </c>
      <c r="D49" s="2" t="s">
        <v>592</v>
      </c>
      <c r="E49" s="2" t="s">
        <v>1368</v>
      </c>
      <c r="F49" s="2" t="s">
        <v>716</v>
      </c>
      <c r="G49" s="3">
        <v>1722</v>
      </c>
      <c r="H49" s="3">
        <v>13</v>
      </c>
      <c r="I49" s="3">
        <v>15</v>
      </c>
      <c r="J49" s="3">
        <v>15</v>
      </c>
      <c r="K49" s="3">
        <v>723</v>
      </c>
      <c r="L49" s="3">
        <v>256</v>
      </c>
      <c r="M49" s="3">
        <v>2295</v>
      </c>
      <c r="N49" s="3">
        <v>429</v>
      </c>
      <c r="O49" s="5">
        <v>97</v>
      </c>
      <c r="P49" s="5">
        <v>0.4</v>
      </c>
      <c r="Q49" s="5">
        <v>1</v>
      </c>
      <c r="R49" s="5">
        <v>1.6</v>
      </c>
      <c r="S49" s="5">
        <v>26.3</v>
      </c>
      <c r="T49" s="5">
        <v>6.9</v>
      </c>
      <c r="U49" s="5">
        <v>48.4</v>
      </c>
      <c r="V49" s="5">
        <v>18.399999999999999</v>
      </c>
      <c r="W49" s="5">
        <f t="shared" si="1"/>
        <v>66.8</v>
      </c>
      <c r="X49" s="2">
        <v>0</v>
      </c>
      <c r="Y49" t="s">
        <v>616</v>
      </c>
      <c r="Z49" s="4">
        <v>41808</v>
      </c>
      <c r="AA49" t="s">
        <v>6</v>
      </c>
      <c r="AB49" t="s">
        <v>13</v>
      </c>
      <c r="AC49" t="s">
        <v>1322</v>
      </c>
      <c r="AD49" t="s">
        <v>772</v>
      </c>
      <c r="AE49" t="s">
        <v>1365</v>
      </c>
      <c r="AF49" t="s">
        <v>1376</v>
      </c>
      <c r="AG49" s="6">
        <v>0.02</v>
      </c>
      <c r="AH49" s="2">
        <v>0.01</v>
      </c>
      <c r="AI49" s="5">
        <v>21.2</v>
      </c>
      <c r="AJ49" s="5">
        <v>17</v>
      </c>
      <c r="AK49" s="5" t="s">
        <v>443</v>
      </c>
      <c r="AL49" s="5">
        <v>9.9</v>
      </c>
      <c r="AM49" s="5">
        <v>28</v>
      </c>
      <c r="AN49" s="5" t="s">
        <v>443</v>
      </c>
      <c r="AO49" s="2">
        <v>199</v>
      </c>
      <c r="AP49" s="2">
        <v>239</v>
      </c>
      <c r="AQ49" s="2">
        <v>217</v>
      </c>
      <c r="AR49" s="2" t="s">
        <v>1370</v>
      </c>
      <c r="AS49" t="s">
        <v>1322</v>
      </c>
    </row>
    <row r="50" spans="1:45" x14ac:dyDescent="0.35">
      <c r="A50" t="s">
        <v>44</v>
      </c>
      <c r="B50" t="s">
        <v>974</v>
      </c>
      <c r="C50" t="s">
        <v>972</v>
      </c>
      <c r="D50" s="2" t="s">
        <v>592</v>
      </c>
      <c r="E50" s="2" t="s">
        <v>1368</v>
      </c>
      <c r="F50" s="2" t="s">
        <v>716</v>
      </c>
      <c r="G50" s="3">
        <v>1722</v>
      </c>
      <c r="H50" s="3">
        <v>13</v>
      </c>
      <c r="I50" s="3">
        <v>15</v>
      </c>
      <c r="J50" s="3">
        <v>15</v>
      </c>
      <c r="K50" s="3">
        <v>723</v>
      </c>
      <c r="L50" s="3">
        <v>256</v>
      </c>
      <c r="M50" s="3">
        <v>2295</v>
      </c>
      <c r="N50" s="3">
        <v>429</v>
      </c>
      <c r="O50" s="5">
        <v>97</v>
      </c>
      <c r="P50" s="5">
        <v>0.4</v>
      </c>
      <c r="Q50" s="5">
        <v>1</v>
      </c>
      <c r="R50" s="5">
        <v>1.6</v>
      </c>
      <c r="S50" s="5">
        <v>26.3</v>
      </c>
      <c r="T50" s="5">
        <v>6.9</v>
      </c>
      <c r="U50" s="5">
        <v>48.4</v>
      </c>
      <c r="V50" s="5">
        <v>18.399999999999999</v>
      </c>
      <c r="W50" s="5">
        <f t="shared" si="1"/>
        <v>66.8</v>
      </c>
      <c r="X50" s="2">
        <v>0</v>
      </c>
      <c r="Y50" t="s">
        <v>616</v>
      </c>
      <c r="Z50" s="4">
        <v>41849</v>
      </c>
      <c r="AA50" t="s">
        <v>6</v>
      </c>
      <c r="AB50" t="s">
        <v>13</v>
      </c>
      <c r="AC50" t="s">
        <v>1322</v>
      </c>
      <c r="AD50" t="s">
        <v>773</v>
      </c>
      <c r="AE50" t="s">
        <v>1365</v>
      </c>
      <c r="AF50" t="s">
        <v>1376</v>
      </c>
      <c r="AG50" s="6">
        <v>7.0000000000000007E-2</v>
      </c>
      <c r="AH50" s="2">
        <v>0.01</v>
      </c>
      <c r="AI50" s="5">
        <v>12.6</v>
      </c>
      <c r="AJ50" s="5">
        <v>10.1</v>
      </c>
      <c r="AK50" s="5" t="s">
        <v>443</v>
      </c>
      <c r="AL50" s="5">
        <v>9.6999999999999993</v>
      </c>
      <c r="AM50" s="5">
        <v>31</v>
      </c>
      <c r="AN50" s="5" t="s">
        <v>443</v>
      </c>
      <c r="AO50" s="2">
        <v>6.8</v>
      </c>
      <c r="AP50" s="2">
        <v>150</v>
      </c>
      <c r="AQ50" s="2">
        <v>142</v>
      </c>
      <c r="AR50" s="2" t="s">
        <v>1370</v>
      </c>
      <c r="AS50" t="s">
        <v>1322</v>
      </c>
    </row>
    <row r="51" spans="1:45" x14ac:dyDescent="0.35">
      <c r="A51" t="s">
        <v>130</v>
      </c>
      <c r="B51" t="s">
        <v>131</v>
      </c>
      <c r="C51" t="s">
        <v>1037</v>
      </c>
      <c r="D51" s="2" t="s">
        <v>592</v>
      </c>
      <c r="E51" s="2" t="s">
        <v>1368</v>
      </c>
      <c r="F51" s="2" t="s">
        <v>619</v>
      </c>
      <c r="G51" s="3" t="s">
        <v>443</v>
      </c>
      <c r="H51" s="3" t="s">
        <v>443</v>
      </c>
      <c r="I51" s="3" t="s">
        <v>443</v>
      </c>
      <c r="J51" s="3" t="s">
        <v>443</v>
      </c>
      <c r="K51" s="3" t="s">
        <v>443</v>
      </c>
      <c r="L51" s="3" t="s">
        <v>443</v>
      </c>
      <c r="M51" s="3" t="s">
        <v>443</v>
      </c>
      <c r="N51" s="3" t="s">
        <v>443</v>
      </c>
      <c r="O51" s="5" t="s">
        <v>443</v>
      </c>
      <c r="P51" s="5" t="s">
        <v>443</v>
      </c>
      <c r="Q51" s="5" t="s">
        <v>443</v>
      </c>
      <c r="R51" s="5" t="s">
        <v>443</v>
      </c>
      <c r="S51" s="5" t="s">
        <v>443</v>
      </c>
      <c r="T51" s="5" t="s">
        <v>443</v>
      </c>
      <c r="U51" s="5" t="s">
        <v>443</v>
      </c>
      <c r="V51" s="5" t="s">
        <v>443</v>
      </c>
      <c r="W51" s="5" t="s">
        <v>443</v>
      </c>
      <c r="X51" s="3" t="s">
        <v>443</v>
      </c>
      <c r="Y51" t="s">
        <v>605</v>
      </c>
      <c r="Z51" s="4">
        <v>41961</v>
      </c>
      <c r="AA51" t="s">
        <v>132</v>
      </c>
      <c r="AB51" t="s">
        <v>133</v>
      </c>
      <c r="AC51" t="s">
        <v>1325</v>
      </c>
      <c r="AD51" t="s">
        <v>901</v>
      </c>
      <c r="AE51" t="s">
        <v>1365</v>
      </c>
      <c r="AF51" t="s">
        <v>1376</v>
      </c>
      <c r="AG51" s="6">
        <v>2.6</v>
      </c>
      <c r="AH51" s="2">
        <v>0.1</v>
      </c>
      <c r="AI51" s="5">
        <v>482</v>
      </c>
      <c r="AJ51" s="5">
        <v>0.4</v>
      </c>
      <c r="AK51" s="5" t="s">
        <v>443</v>
      </c>
      <c r="AL51" s="5">
        <v>7.5</v>
      </c>
      <c r="AM51" s="5">
        <v>9.8000000000000007</v>
      </c>
      <c r="AN51" s="5">
        <v>7.16</v>
      </c>
      <c r="AO51" s="2">
        <v>5.96</v>
      </c>
      <c r="AP51" s="2">
        <v>20.8</v>
      </c>
      <c r="AQ51" s="2">
        <v>20.399999999999999</v>
      </c>
      <c r="AR51" s="2" t="s">
        <v>1370</v>
      </c>
      <c r="AS51" t="s">
        <v>1325</v>
      </c>
    </row>
    <row r="52" spans="1:45" x14ac:dyDescent="0.35">
      <c r="A52" t="s">
        <v>73</v>
      </c>
      <c r="B52" t="s">
        <v>131</v>
      </c>
      <c r="C52" t="s">
        <v>1037</v>
      </c>
      <c r="D52" s="2" t="s">
        <v>592</v>
      </c>
      <c r="E52" s="2" t="s">
        <v>1368</v>
      </c>
      <c r="F52" s="2" t="s">
        <v>619</v>
      </c>
      <c r="G52" s="3" t="s">
        <v>443</v>
      </c>
      <c r="H52" s="3" t="s">
        <v>443</v>
      </c>
      <c r="I52" s="3" t="s">
        <v>443</v>
      </c>
      <c r="J52" s="3" t="s">
        <v>443</v>
      </c>
      <c r="K52" s="3" t="s">
        <v>443</v>
      </c>
      <c r="L52" s="3" t="s">
        <v>443</v>
      </c>
      <c r="M52" s="3" t="s">
        <v>443</v>
      </c>
      <c r="N52" s="3" t="s">
        <v>443</v>
      </c>
      <c r="O52" s="5" t="s">
        <v>443</v>
      </c>
      <c r="P52" s="5" t="s">
        <v>443</v>
      </c>
      <c r="Q52" s="5" t="s">
        <v>443</v>
      </c>
      <c r="R52" s="5" t="s">
        <v>443</v>
      </c>
      <c r="S52" s="5" t="s">
        <v>443</v>
      </c>
      <c r="T52" s="5" t="s">
        <v>443</v>
      </c>
      <c r="U52" s="5" t="s">
        <v>443</v>
      </c>
      <c r="V52" s="5" t="s">
        <v>443</v>
      </c>
      <c r="W52" s="5" t="s">
        <v>443</v>
      </c>
      <c r="X52" s="3" t="s">
        <v>443</v>
      </c>
      <c r="Y52" t="s">
        <v>605</v>
      </c>
      <c r="Z52" s="4">
        <v>41961</v>
      </c>
      <c r="AA52" t="s">
        <v>132</v>
      </c>
      <c r="AB52" t="s">
        <v>133</v>
      </c>
      <c r="AC52" t="s">
        <v>1325</v>
      </c>
      <c r="AD52" t="s">
        <v>902</v>
      </c>
      <c r="AE52" t="s">
        <v>1365</v>
      </c>
      <c r="AF52" t="s">
        <v>1376</v>
      </c>
      <c r="AG52" s="6">
        <v>2.6</v>
      </c>
      <c r="AH52" s="2">
        <v>1</v>
      </c>
      <c r="AI52" s="5">
        <v>494</v>
      </c>
      <c r="AJ52" s="5">
        <v>0.4</v>
      </c>
      <c r="AK52" s="5" t="s">
        <v>443</v>
      </c>
      <c r="AL52" s="5">
        <v>7.6</v>
      </c>
      <c r="AM52" s="5">
        <v>9.6999999999999993</v>
      </c>
      <c r="AN52" s="5">
        <v>7.05</v>
      </c>
      <c r="AO52" s="2">
        <v>7.09</v>
      </c>
      <c r="AP52" s="2">
        <v>22.5</v>
      </c>
      <c r="AQ52" s="2">
        <v>21.5</v>
      </c>
      <c r="AR52" s="2" t="s">
        <v>1370</v>
      </c>
      <c r="AS52" t="s">
        <v>1325</v>
      </c>
    </row>
    <row r="53" spans="1:45" x14ac:dyDescent="0.35">
      <c r="A53" t="s">
        <v>738</v>
      </c>
      <c r="B53" t="s">
        <v>432</v>
      </c>
      <c r="C53" t="s">
        <v>1036</v>
      </c>
      <c r="D53" s="2" t="s">
        <v>594</v>
      </c>
      <c r="E53" s="2" t="s">
        <v>418</v>
      </c>
      <c r="F53" s="2" t="s">
        <v>717</v>
      </c>
      <c r="G53" s="3">
        <v>4490</v>
      </c>
      <c r="H53" s="3">
        <v>100</v>
      </c>
      <c r="I53" s="3">
        <v>649.6</v>
      </c>
      <c r="J53" s="3">
        <v>566.1</v>
      </c>
      <c r="K53" s="3">
        <v>4970</v>
      </c>
      <c r="L53" s="3">
        <v>2530</v>
      </c>
      <c r="M53" s="3">
        <v>97.6</v>
      </c>
      <c r="N53" s="3">
        <v>0</v>
      </c>
      <c r="O53" s="5">
        <v>70.5</v>
      </c>
      <c r="P53" s="5">
        <v>0.9</v>
      </c>
      <c r="Q53" s="5">
        <v>11.7</v>
      </c>
      <c r="R53" s="5">
        <v>16.8</v>
      </c>
      <c r="S53" s="5">
        <v>72.099999999999994</v>
      </c>
      <c r="T53" s="5">
        <v>27.1</v>
      </c>
      <c r="U53" s="5">
        <v>0.8</v>
      </c>
      <c r="V53" s="5">
        <v>0</v>
      </c>
      <c r="W53" s="5">
        <f t="shared" ref="W53:W66" si="2">SUM(U53:V53)</f>
        <v>0.8</v>
      </c>
      <c r="X53" s="3">
        <v>17.481069142120788</v>
      </c>
      <c r="Y53" t="s">
        <v>616</v>
      </c>
      <c r="Z53" s="4">
        <v>42118</v>
      </c>
      <c r="AA53" t="s">
        <v>433</v>
      </c>
      <c r="AB53" t="s">
        <v>434</v>
      </c>
      <c r="AC53" t="s">
        <v>609</v>
      </c>
      <c r="AD53" t="s">
        <v>1098</v>
      </c>
      <c r="AE53" t="s">
        <v>1365</v>
      </c>
      <c r="AF53" t="s">
        <v>1376</v>
      </c>
      <c r="AG53" s="6">
        <v>0.2</v>
      </c>
      <c r="AH53" s="6">
        <v>0.01</v>
      </c>
      <c r="AI53" s="5">
        <v>7.7</v>
      </c>
      <c r="AJ53" s="2" t="s">
        <v>443</v>
      </c>
      <c r="AK53" s="5">
        <v>13.4</v>
      </c>
      <c r="AL53" s="5">
        <v>7.9</v>
      </c>
      <c r="AM53" s="5">
        <v>9.6</v>
      </c>
      <c r="AN53" s="5" t="s">
        <v>443</v>
      </c>
      <c r="AO53" s="2">
        <v>12.3</v>
      </c>
      <c r="AP53" s="2">
        <v>12.9</v>
      </c>
      <c r="AQ53" s="2" t="s">
        <v>443</v>
      </c>
      <c r="AR53" s="2" t="s">
        <v>1370</v>
      </c>
      <c r="AS53" t="s">
        <v>1313</v>
      </c>
    </row>
    <row r="54" spans="1:45" x14ac:dyDescent="0.35">
      <c r="A54" t="s">
        <v>739</v>
      </c>
      <c r="B54" t="s">
        <v>1046</v>
      </c>
      <c r="C54" t="s">
        <v>1036</v>
      </c>
      <c r="D54" s="2" t="s">
        <v>594</v>
      </c>
      <c r="E54" s="2" t="s">
        <v>418</v>
      </c>
      <c r="F54" s="2" t="s">
        <v>717</v>
      </c>
      <c r="G54" s="3">
        <v>12150</v>
      </c>
      <c r="H54" s="3">
        <v>59</v>
      </c>
      <c r="I54" s="3">
        <v>1049.2</v>
      </c>
      <c r="J54" s="3">
        <v>5043.2</v>
      </c>
      <c r="K54" s="24">
        <v>26625</v>
      </c>
      <c r="L54" s="3">
        <v>4090</v>
      </c>
      <c r="M54" s="3">
        <v>61</v>
      </c>
      <c r="N54" s="3">
        <v>12</v>
      </c>
      <c r="O54" s="5">
        <v>53</v>
      </c>
      <c r="P54" s="5">
        <v>0.2</v>
      </c>
      <c r="Q54" s="5">
        <v>5.2</v>
      </c>
      <c r="R54" s="5">
        <v>41.6</v>
      </c>
      <c r="S54" s="5">
        <v>89.7</v>
      </c>
      <c r="T54" s="5">
        <v>10.199999999999999</v>
      </c>
      <c r="U54" s="5">
        <v>0.1</v>
      </c>
      <c r="V54" s="5">
        <v>0</v>
      </c>
      <c r="W54" s="5">
        <f t="shared" si="2"/>
        <v>0.1</v>
      </c>
      <c r="X54" s="3">
        <v>8.7093453624248518</v>
      </c>
      <c r="Y54" t="s">
        <v>616</v>
      </c>
      <c r="Z54" s="4">
        <v>42118</v>
      </c>
      <c r="AA54" t="s">
        <v>433</v>
      </c>
      <c r="AB54" t="s">
        <v>435</v>
      </c>
      <c r="AC54" t="s">
        <v>609</v>
      </c>
      <c r="AD54" t="s">
        <v>1099</v>
      </c>
      <c r="AE54" t="s">
        <v>1365</v>
      </c>
      <c r="AF54" t="s">
        <v>1376</v>
      </c>
      <c r="AG54" s="6">
        <v>0.2</v>
      </c>
      <c r="AH54" s="6">
        <v>0.01</v>
      </c>
      <c r="AI54" s="5">
        <v>67.900000000000006</v>
      </c>
      <c r="AJ54" s="2" t="s">
        <v>443</v>
      </c>
      <c r="AK54" s="5">
        <v>49.1</v>
      </c>
      <c r="AL54" s="5">
        <v>9.5</v>
      </c>
      <c r="AM54" s="5">
        <v>11.5</v>
      </c>
      <c r="AN54" s="5" t="s">
        <v>443</v>
      </c>
      <c r="AO54" s="2">
        <v>6</v>
      </c>
      <c r="AP54" s="2">
        <v>48.5</v>
      </c>
      <c r="AQ54" s="2" t="s">
        <v>443</v>
      </c>
      <c r="AR54" s="2" t="s">
        <v>1370</v>
      </c>
      <c r="AS54" t="s">
        <v>1313</v>
      </c>
    </row>
    <row r="55" spans="1:45" x14ac:dyDescent="0.35">
      <c r="A55" t="s">
        <v>741</v>
      </c>
      <c r="B55" t="s">
        <v>439</v>
      </c>
      <c r="C55" t="s">
        <v>1036</v>
      </c>
      <c r="D55" s="2" t="s">
        <v>594</v>
      </c>
      <c r="E55" s="2" t="s">
        <v>418</v>
      </c>
      <c r="F55" s="2" t="s">
        <v>717</v>
      </c>
      <c r="G55" s="3">
        <v>238</v>
      </c>
      <c r="H55" s="3">
        <v>32</v>
      </c>
      <c r="I55" s="3">
        <v>233</v>
      </c>
      <c r="J55" s="3">
        <v>52.8</v>
      </c>
      <c r="K55" s="3">
        <v>603.5</v>
      </c>
      <c r="L55" s="3">
        <v>630</v>
      </c>
      <c r="M55" s="3">
        <v>122</v>
      </c>
      <c r="N55" s="3">
        <v>0</v>
      </c>
      <c r="O55" s="5">
        <v>38.1</v>
      </c>
      <c r="P55" s="5">
        <v>3</v>
      </c>
      <c r="Q55" s="5">
        <v>42.8</v>
      </c>
      <c r="R55" s="5">
        <v>16</v>
      </c>
      <c r="S55" s="5">
        <v>53</v>
      </c>
      <c r="T55" s="5">
        <v>40.799999999999997</v>
      </c>
      <c r="U55" s="5">
        <v>6.2</v>
      </c>
      <c r="V55" s="5">
        <v>0</v>
      </c>
      <c r="W55" s="5">
        <f t="shared" si="2"/>
        <v>6.2</v>
      </c>
      <c r="X55" s="3">
        <v>-8.4289466678855263</v>
      </c>
      <c r="Y55" t="s">
        <v>609</v>
      </c>
      <c r="Z55" s="4">
        <v>42118</v>
      </c>
      <c r="AA55" t="s">
        <v>433</v>
      </c>
      <c r="AB55" t="s">
        <v>440</v>
      </c>
      <c r="AC55" t="s">
        <v>609</v>
      </c>
      <c r="AD55" t="s">
        <v>1100</v>
      </c>
      <c r="AE55" t="s">
        <v>1365</v>
      </c>
      <c r="AF55" t="s">
        <v>1376</v>
      </c>
      <c r="AG55" s="6">
        <v>0.5</v>
      </c>
      <c r="AH55" s="6">
        <v>0.1</v>
      </c>
      <c r="AI55" s="5">
        <v>2.7</v>
      </c>
      <c r="AJ55" s="2" t="s">
        <v>443</v>
      </c>
      <c r="AK55" s="5">
        <v>1.9</v>
      </c>
      <c r="AL55" s="5">
        <v>8.4</v>
      </c>
      <c r="AM55" s="5">
        <v>9.4</v>
      </c>
      <c r="AN55" s="5" t="s">
        <v>443</v>
      </c>
      <c r="AO55" s="2">
        <v>53.4</v>
      </c>
      <c r="AP55" s="2">
        <v>24.2</v>
      </c>
      <c r="AQ55" s="2" t="s">
        <v>443</v>
      </c>
      <c r="AR55" s="2" t="s">
        <v>1370</v>
      </c>
      <c r="AS55" t="s">
        <v>609</v>
      </c>
    </row>
    <row r="56" spans="1:45" x14ac:dyDescent="0.35">
      <c r="A56" t="s">
        <v>742</v>
      </c>
      <c r="B56" t="s">
        <v>610</v>
      </c>
      <c r="C56" t="s">
        <v>1037</v>
      </c>
      <c r="D56" s="2" t="s">
        <v>594</v>
      </c>
      <c r="E56" s="2" t="s">
        <v>418</v>
      </c>
      <c r="F56" s="2" t="s">
        <v>619</v>
      </c>
      <c r="G56" s="3">
        <v>44</v>
      </c>
      <c r="H56" s="3">
        <v>16</v>
      </c>
      <c r="I56" s="3">
        <v>89.8</v>
      </c>
      <c r="J56" s="3">
        <v>15.1</v>
      </c>
      <c r="K56" s="3">
        <v>60</v>
      </c>
      <c r="L56" s="3">
        <v>166</v>
      </c>
      <c r="M56" s="3">
        <v>146</v>
      </c>
      <c r="N56" s="3">
        <v>0</v>
      </c>
      <c r="O56" s="5">
        <v>23.8</v>
      </c>
      <c r="P56" s="5">
        <v>5.0999999999999996</v>
      </c>
      <c r="Q56" s="5">
        <v>55.7</v>
      </c>
      <c r="R56" s="5">
        <v>15.4</v>
      </c>
      <c r="S56" s="5">
        <v>22.4</v>
      </c>
      <c r="T56" s="5">
        <v>45.8</v>
      </c>
      <c r="U56" s="5">
        <v>31.7</v>
      </c>
      <c r="V56" s="5">
        <v>0</v>
      </c>
      <c r="W56" s="5">
        <f t="shared" si="2"/>
        <v>31.7</v>
      </c>
      <c r="X56" s="3">
        <v>3.2432259616175747</v>
      </c>
      <c r="Y56" t="s">
        <v>609</v>
      </c>
      <c r="Z56" s="4">
        <v>42119</v>
      </c>
      <c r="AA56" t="s">
        <v>433</v>
      </c>
      <c r="AB56" t="s">
        <v>444</v>
      </c>
      <c r="AC56" t="s">
        <v>609</v>
      </c>
      <c r="AD56" t="s">
        <v>1102</v>
      </c>
      <c r="AE56" t="s">
        <v>1365</v>
      </c>
      <c r="AF56" t="s">
        <v>1376</v>
      </c>
      <c r="AG56" s="6">
        <v>0.03</v>
      </c>
      <c r="AH56" s="2">
        <v>0.01</v>
      </c>
      <c r="AI56" t="s">
        <v>443</v>
      </c>
      <c r="AJ56" s="2" t="s">
        <v>443</v>
      </c>
      <c r="AK56" s="5">
        <v>0.5</v>
      </c>
      <c r="AL56" s="5">
        <v>8.5</v>
      </c>
      <c r="AM56" s="5">
        <v>10.4</v>
      </c>
      <c r="AN56" s="5" t="s">
        <v>443</v>
      </c>
      <c r="AO56" s="2">
        <v>10.7</v>
      </c>
      <c r="AP56" s="2">
        <v>24.4</v>
      </c>
      <c r="AQ56" s="2" t="s">
        <v>443</v>
      </c>
      <c r="AR56" s="2" t="s">
        <v>1370</v>
      </c>
      <c r="AS56" t="s">
        <v>609</v>
      </c>
    </row>
    <row r="57" spans="1:45" x14ac:dyDescent="0.35">
      <c r="A57" t="s">
        <v>732</v>
      </c>
      <c r="B57" t="s">
        <v>428</v>
      </c>
      <c r="C57" t="s">
        <v>1036</v>
      </c>
      <c r="D57" s="2" t="s">
        <v>594</v>
      </c>
      <c r="E57" s="2" t="s">
        <v>418</v>
      </c>
      <c r="F57" s="2" t="s">
        <v>717</v>
      </c>
      <c r="G57" s="3">
        <v>25980</v>
      </c>
      <c r="H57" s="3">
        <v>680</v>
      </c>
      <c r="I57" s="3">
        <v>498.1</v>
      </c>
      <c r="J57" s="3">
        <v>2532.6</v>
      </c>
      <c r="K57" s="3">
        <v>35500</v>
      </c>
      <c r="L57" s="3">
        <v>22870</v>
      </c>
      <c r="M57" s="3">
        <v>170.8</v>
      </c>
      <c r="N57" s="3">
        <v>12</v>
      </c>
      <c r="O57" s="5">
        <v>81.8</v>
      </c>
      <c r="P57" s="5">
        <v>1.3</v>
      </c>
      <c r="Q57" s="5">
        <v>1.8</v>
      </c>
      <c r="R57" s="5">
        <v>15.1</v>
      </c>
      <c r="S57" s="5">
        <v>67.599999999999994</v>
      </c>
      <c r="T57" s="5">
        <v>32.200000000000003</v>
      </c>
      <c r="U57" s="5">
        <v>0.2</v>
      </c>
      <c r="V57" s="5">
        <v>0</v>
      </c>
      <c r="W57" s="5">
        <f t="shared" si="2"/>
        <v>0.2</v>
      </c>
      <c r="X57" s="3">
        <v>-3.4954410051411942</v>
      </c>
      <c r="Y57" t="s">
        <v>616</v>
      </c>
      <c r="Z57" s="4">
        <v>42123</v>
      </c>
      <c r="AA57" t="s">
        <v>423</v>
      </c>
      <c r="AB57" t="s">
        <v>429</v>
      </c>
      <c r="AC57" t="s">
        <v>609</v>
      </c>
      <c r="AD57" t="s">
        <v>1095</v>
      </c>
      <c r="AE57" t="s">
        <v>1365</v>
      </c>
      <c r="AF57" t="s">
        <v>1376</v>
      </c>
      <c r="AG57" s="6">
        <v>0.2</v>
      </c>
      <c r="AH57" s="6">
        <v>0.01</v>
      </c>
      <c r="AI57" s="5">
        <v>99.3</v>
      </c>
      <c r="AJ57" s="2" t="s">
        <v>443</v>
      </c>
      <c r="AK57" s="5">
        <v>88.2</v>
      </c>
      <c r="AL57" s="5">
        <v>8.6999999999999993</v>
      </c>
      <c r="AM57" s="5">
        <v>14</v>
      </c>
      <c r="AN57" s="5" t="s">
        <v>443</v>
      </c>
      <c r="AO57" s="2">
        <v>40.799999999999997</v>
      </c>
      <c r="AP57" s="2">
        <v>65.8</v>
      </c>
      <c r="AQ57" s="2" t="s">
        <v>443</v>
      </c>
      <c r="AR57" s="2" t="s">
        <v>1370</v>
      </c>
      <c r="AS57" t="s">
        <v>1313</v>
      </c>
    </row>
    <row r="58" spans="1:45" x14ac:dyDescent="0.35">
      <c r="A58" t="s">
        <v>740</v>
      </c>
      <c r="B58" t="s">
        <v>436</v>
      </c>
      <c r="C58" t="s">
        <v>1036</v>
      </c>
      <c r="D58" s="2" t="s">
        <v>594</v>
      </c>
      <c r="E58" s="2" t="s">
        <v>418</v>
      </c>
      <c r="F58" s="2" t="s">
        <v>717</v>
      </c>
      <c r="G58" s="3">
        <v>1510</v>
      </c>
      <c r="H58" s="3">
        <v>49</v>
      </c>
      <c r="I58" s="3">
        <v>122</v>
      </c>
      <c r="J58" s="3">
        <v>630</v>
      </c>
      <c r="K58" s="3">
        <v>3195</v>
      </c>
      <c r="L58" s="3">
        <v>680</v>
      </c>
      <c r="M58" s="3">
        <v>165</v>
      </c>
      <c r="N58" s="3">
        <v>0</v>
      </c>
      <c r="O58" s="5">
        <v>52.6</v>
      </c>
      <c r="P58" s="5">
        <v>1</v>
      </c>
      <c r="Q58" s="5">
        <v>4.9000000000000004</v>
      </c>
      <c r="R58" s="5">
        <v>41.5</v>
      </c>
      <c r="S58" s="5">
        <v>84.2</v>
      </c>
      <c r="T58" s="5">
        <v>13.2</v>
      </c>
      <c r="U58" s="5">
        <v>2.5</v>
      </c>
      <c r="V58" s="5">
        <v>0</v>
      </c>
      <c r="W58" s="5">
        <f t="shared" si="2"/>
        <v>2.5</v>
      </c>
      <c r="X58" s="3">
        <v>7.7135471729905554</v>
      </c>
      <c r="Y58" t="s">
        <v>616</v>
      </c>
      <c r="Z58" s="4">
        <v>42123</v>
      </c>
      <c r="AA58" t="s">
        <v>437</v>
      </c>
      <c r="AB58" t="s">
        <v>438</v>
      </c>
      <c r="AC58" t="s">
        <v>609</v>
      </c>
      <c r="AD58" t="s">
        <v>727</v>
      </c>
      <c r="AE58" t="s">
        <v>1365</v>
      </c>
      <c r="AF58" t="s">
        <v>1376</v>
      </c>
      <c r="AG58" s="6">
        <v>0.7</v>
      </c>
      <c r="AH58" s="6">
        <v>0.1</v>
      </c>
      <c r="AI58" s="5">
        <v>10.199999999999999</v>
      </c>
      <c r="AJ58" s="2" t="s">
        <v>443</v>
      </c>
      <c r="AK58" s="5">
        <v>6.4</v>
      </c>
      <c r="AL58" s="5">
        <v>8.9</v>
      </c>
      <c r="AM58" s="5">
        <v>14.7</v>
      </c>
      <c r="AN58" s="5">
        <v>19.399999999999999</v>
      </c>
      <c r="AO58" s="2">
        <v>378</v>
      </c>
      <c r="AP58" s="2">
        <v>56.2</v>
      </c>
      <c r="AQ58" s="2" t="s">
        <v>443</v>
      </c>
      <c r="AR58" s="2" t="s">
        <v>1370</v>
      </c>
      <c r="AS58" t="s">
        <v>1313</v>
      </c>
    </row>
    <row r="59" spans="1:45" x14ac:dyDescent="0.35">
      <c r="A59" t="s">
        <v>730</v>
      </c>
      <c r="B59" t="s">
        <v>422</v>
      </c>
      <c r="C59" t="s">
        <v>1036</v>
      </c>
      <c r="D59" s="2" t="s">
        <v>594</v>
      </c>
      <c r="E59" s="2" t="s">
        <v>418</v>
      </c>
      <c r="F59" s="2" t="s">
        <v>717</v>
      </c>
      <c r="G59" s="3">
        <v>25910</v>
      </c>
      <c r="H59" s="3">
        <v>200</v>
      </c>
      <c r="I59" s="3">
        <v>127.3</v>
      </c>
      <c r="J59" s="3">
        <v>1307.9000000000001</v>
      </c>
      <c r="K59" s="3">
        <v>37275</v>
      </c>
      <c r="L59" s="3">
        <v>4720</v>
      </c>
      <c r="M59" s="3">
        <v>170.8</v>
      </c>
      <c r="N59" s="3">
        <v>0</v>
      </c>
      <c r="O59" s="5">
        <v>90.4</v>
      </c>
      <c r="P59" s="5">
        <v>0.4</v>
      </c>
      <c r="Q59" s="5">
        <v>0.5</v>
      </c>
      <c r="R59" s="5">
        <v>8.6</v>
      </c>
      <c r="S59" s="5">
        <v>91.2</v>
      </c>
      <c r="T59" s="5">
        <v>8.5</v>
      </c>
      <c r="U59" s="5">
        <v>0.2</v>
      </c>
      <c r="V59" s="5">
        <v>0</v>
      </c>
      <c r="W59" s="5">
        <f t="shared" si="2"/>
        <v>0.2</v>
      </c>
      <c r="X59" s="3">
        <v>3.9010362019016163</v>
      </c>
      <c r="Y59" t="s">
        <v>616</v>
      </c>
      <c r="Z59" s="4">
        <v>42124</v>
      </c>
      <c r="AA59" t="s">
        <v>423</v>
      </c>
      <c r="AB59" t="s">
        <v>424</v>
      </c>
      <c r="AC59" t="s">
        <v>609</v>
      </c>
      <c r="AD59" t="s">
        <v>1092</v>
      </c>
      <c r="AE59" t="s">
        <v>1365</v>
      </c>
      <c r="AF59" t="s">
        <v>1376</v>
      </c>
      <c r="AG59" s="6">
        <v>0.1</v>
      </c>
      <c r="AH59" s="6">
        <v>0.01</v>
      </c>
      <c r="AI59" s="5">
        <v>69.8</v>
      </c>
      <c r="AJ59" s="2" t="s">
        <v>443</v>
      </c>
      <c r="AK59" s="5">
        <v>69.7</v>
      </c>
      <c r="AL59" s="5">
        <v>8.5</v>
      </c>
      <c r="AM59" s="5">
        <v>24.4</v>
      </c>
      <c r="AN59" s="5">
        <v>10.45</v>
      </c>
      <c r="AO59" s="2">
        <v>9.4</v>
      </c>
      <c r="AP59" s="2">
        <v>25.2</v>
      </c>
      <c r="AQ59" s="2" t="s">
        <v>443</v>
      </c>
      <c r="AR59" s="2" t="s">
        <v>1370</v>
      </c>
      <c r="AS59" t="s">
        <v>1313</v>
      </c>
    </row>
    <row r="60" spans="1:45" x14ac:dyDescent="0.35">
      <c r="A60" t="s">
        <v>734</v>
      </c>
      <c r="B60" t="s">
        <v>441</v>
      </c>
      <c r="C60" t="s">
        <v>1036</v>
      </c>
      <c r="D60" s="2" t="s">
        <v>594</v>
      </c>
      <c r="E60" s="2" t="s">
        <v>418</v>
      </c>
      <c r="F60" s="2" t="s">
        <v>717</v>
      </c>
      <c r="G60" s="3">
        <v>39070</v>
      </c>
      <c r="H60" s="3">
        <v>420</v>
      </c>
      <c r="I60" s="3">
        <v>479.2</v>
      </c>
      <c r="J60" s="3">
        <v>4438</v>
      </c>
      <c r="K60" s="3">
        <v>58575</v>
      </c>
      <c r="L60" s="3">
        <v>27490</v>
      </c>
      <c r="M60" s="3">
        <v>317</v>
      </c>
      <c r="N60" s="3">
        <v>0</v>
      </c>
      <c r="O60" s="5">
        <v>81</v>
      </c>
      <c r="P60" s="5">
        <v>0.5</v>
      </c>
      <c r="Q60" s="5">
        <v>1.1000000000000001</v>
      </c>
      <c r="R60" s="5">
        <v>17.399999999999999</v>
      </c>
      <c r="S60" s="5">
        <v>74.099999999999994</v>
      </c>
      <c r="T60" s="5">
        <v>25.7</v>
      </c>
      <c r="U60" s="5">
        <v>0.2</v>
      </c>
      <c r="V60" s="5">
        <v>0</v>
      </c>
      <c r="W60" s="5">
        <f t="shared" si="2"/>
        <v>0.2</v>
      </c>
      <c r="X60" s="3">
        <v>-3.0147855725528006</v>
      </c>
      <c r="Y60" t="s">
        <v>616</v>
      </c>
      <c r="Z60" s="4">
        <v>42124</v>
      </c>
      <c r="AA60" t="s">
        <v>423</v>
      </c>
      <c r="AB60" t="s">
        <v>442</v>
      </c>
      <c r="AC60" t="s">
        <v>609</v>
      </c>
      <c r="AD60" t="s">
        <v>1101</v>
      </c>
      <c r="AE60" t="s">
        <v>1365</v>
      </c>
      <c r="AF60" t="s">
        <v>1376</v>
      </c>
      <c r="AG60" s="6">
        <v>0.2</v>
      </c>
      <c r="AH60" s="6">
        <v>0.01</v>
      </c>
      <c r="AI60" s="5">
        <v>137.30000000000001</v>
      </c>
      <c r="AJ60" s="2" t="s">
        <v>443</v>
      </c>
      <c r="AK60" s="5">
        <v>131</v>
      </c>
      <c r="AL60" s="5">
        <v>8.1999999999999993</v>
      </c>
      <c r="AM60" s="5" t="s">
        <v>443</v>
      </c>
      <c r="AN60" s="5" t="s">
        <v>443</v>
      </c>
      <c r="AO60" s="2">
        <v>23</v>
      </c>
      <c r="AP60" s="2">
        <v>48</v>
      </c>
      <c r="AQ60" s="2" t="s">
        <v>443</v>
      </c>
      <c r="AR60" s="2" t="s">
        <v>1370</v>
      </c>
      <c r="AS60" t="s">
        <v>1313</v>
      </c>
    </row>
    <row r="61" spans="1:45" x14ac:dyDescent="0.35">
      <c r="A61" t="s">
        <v>735</v>
      </c>
      <c r="B61" t="s">
        <v>1046</v>
      </c>
      <c r="C61" t="s">
        <v>1036</v>
      </c>
      <c r="D61" s="2" t="s">
        <v>594</v>
      </c>
      <c r="E61" s="2" t="s">
        <v>418</v>
      </c>
      <c r="F61" s="2" t="s">
        <v>717</v>
      </c>
      <c r="G61" s="3">
        <v>26930</v>
      </c>
      <c r="H61" s="3">
        <v>830</v>
      </c>
      <c r="I61" s="3">
        <v>11.2</v>
      </c>
      <c r="J61" s="3">
        <v>443.8</v>
      </c>
      <c r="K61" s="3">
        <v>40825</v>
      </c>
      <c r="L61" s="3">
        <v>8200</v>
      </c>
      <c r="M61" s="3">
        <v>1830</v>
      </c>
      <c r="N61" s="3">
        <v>120</v>
      </c>
      <c r="O61" s="5">
        <v>95.3</v>
      </c>
      <c r="P61" s="5">
        <v>1.7</v>
      </c>
      <c r="Q61" s="5">
        <v>0</v>
      </c>
      <c r="R61" s="5">
        <v>3</v>
      </c>
      <c r="S61" s="5">
        <v>84.9</v>
      </c>
      <c r="T61" s="5">
        <v>12.6</v>
      </c>
      <c r="U61" s="5">
        <v>2.2000000000000002</v>
      </c>
      <c r="V61" s="5">
        <v>0.3</v>
      </c>
      <c r="W61" s="5">
        <f t="shared" si="2"/>
        <v>2.5</v>
      </c>
      <c r="X61" s="3">
        <v>-4.8973384465740626</v>
      </c>
      <c r="Y61" t="s">
        <v>616</v>
      </c>
      <c r="Z61" s="4">
        <v>42126</v>
      </c>
      <c r="AA61" t="s">
        <v>419</v>
      </c>
      <c r="AB61" t="s">
        <v>421</v>
      </c>
      <c r="AC61" t="s">
        <v>609</v>
      </c>
      <c r="AD61" t="s">
        <v>1091</v>
      </c>
      <c r="AE61" t="s">
        <v>1365</v>
      </c>
      <c r="AF61" t="s">
        <v>1376</v>
      </c>
      <c r="AG61" s="6">
        <v>0.2</v>
      </c>
      <c r="AH61" s="2">
        <v>0.01</v>
      </c>
      <c r="AI61" s="5">
        <v>99.5</v>
      </c>
      <c r="AJ61" s="2" t="s">
        <v>443</v>
      </c>
      <c r="AK61" s="5">
        <v>79.2</v>
      </c>
      <c r="AL61" s="5">
        <v>8.9</v>
      </c>
      <c r="AM61" s="5">
        <v>18.7</v>
      </c>
      <c r="AN61" s="5">
        <v>13.51</v>
      </c>
      <c r="AO61" s="2">
        <v>9.6</v>
      </c>
      <c r="AP61" s="2">
        <v>124.8</v>
      </c>
      <c r="AQ61" s="2" t="s">
        <v>443</v>
      </c>
      <c r="AR61" s="2" t="s">
        <v>1370</v>
      </c>
      <c r="AS61" t="s">
        <v>1313</v>
      </c>
    </row>
    <row r="62" spans="1:45" x14ac:dyDescent="0.35">
      <c r="A62" t="s">
        <v>731</v>
      </c>
      <c r="B62" t="s">
        <v>1046</v>
      </c>
      <c r="C62" t="s">
        <v>1037</v>
      </c>
      <c r="D62" s="2" t="s">
        <v>594</v>
      </c>
      <c r="E62" s="2" t="s">
        <v>418</v>
      </c>
      <c r="F62" s="2" t="s">
        <v>619</v>
      </c>
      <c r="G62" s="3">
        <v>66</v>
      </c>
      <c r="H62" s="3">
        <v>50</v>
      </c>
      <c r="I62" s="3">
        <v>86.7</v>
      </c>
      <c r="J62" s="3">
        <v>37.700000000000003</v>
      </c>
      <c r="K62" s="3">
        <v>142</v>
      </c>
      <c r="L62" s="3">
        <v>300</v>
      </c>
      <c r="M62" s="3">
        <v>18.3</v>
      </c>
      <c r="N62" s="3">
        <v>0</v>
      </c>
      <c r="O62" s="5">
        <v>24.8</v>
      </c>
      <c r="P62" s="5">
        <v>11</v>
      </c>
      <c r="Q62" s="5">
        <v>37.4</v>
      </c>
      <c r="R62" s="5">
        <v>26.8</v>
      </c>
      <c r="S62" s="5">
        <v>38</v>
      </c>
      <c r="T62" s="5">
        <v>59.2</v>
      </c>
      <c r="U62" s="5">
        <v>2.8</v>
      </c>
      <c r="V62" s="5">
        <v>0</v>
      </c>
      <c r="W62" s="5">
        <f t="shared" si="2"/>
        <v>2.8</v>
      </c>
      <c r="X62" s="3">
        <v>4.6414509130258459</v>
      </c>
      <c r="Y62" t="s">
        <v>609</v>
      </c>
      <c r="Z62" s="4">
        <v>42126</v>
      </c>
      <c r="AA62" t="s">
        <v>419</v>
      </c>
      <c r="AB62" t="s">
        <v>425</v>
      </c>
      <c r="AC62" t="s">
        <v>609</v>
      </c>
      <c r="AD62" t="s">
        <v>1093</v>
      </c>
      <c r="AE62" t="s">
        <v>1365</v>
      </c>
      <c r="AF62" t="s">
        <v>1376</v>
      </c>
      <c r="AG62" s="6">
        <v>0.4</v>
      </c>
      <c r="AH62" s="6">
        <v>0.1</v>
      </c>
      <c r="AI62" s="5">
        <v>1.3</v>
      </c>
      <c r="AJ62" s="2" t="s">
        <v>443</v>
      </c>
      <c r="AK62" s="5">
        <v>0.7</v>
      </c>
      <c r="AL62" s="5">
        <v>8.9</v>
      </c>
      <c r="AM62" s="5">
        <v>17.100000000000001</v>
      </c>
      <c r="AN62" s="5">
        <v>12.6</v>
      </c>
      <c r="AO62" s="2">
        <v>19.399999999999999</v>
      </c>
      <c r="AP62" s="2">
        <v>21.8</v>
      </c>
      <c r="AQ62" s="2" t="s">
        <v>443</v>
      </c>
      <c r="AR62" s="2" t="s">
        <v>1370</v>
      </c>
      <c r="AS62" t="s">
        <v>609</v>
      </c>
    </row>
    <row r="63" spans="1:45" x14ac:dyDescent="0.35">
      <c r="A63" t="s">
        <v>736</v>
      </c>
      <c r="B63" t="s">
        <v>426</v>
      </c>
      <c r="C63" t="s">
        <v>1036</v>
      </c>
      <c r="D63" s="2" t="s">
        <v>594</v>
      </c>
      <c r="E63" s="2" t="s">
        <v>418</v>
      </c>
      <c r="F63" s="2" t="s">
        <v>717</v>
      </c>
      <c r="G63" s="3">
        <v>43410</v>
      </c>
      <c r="H63" s="3">
        <v>450</v>
      </c>
      <c r="I63" s="3">
        <v>645.79999999999995</v>
      </c>
      <c r="J63" s="3">
        <v>4950.3</v>
      </c>
      <c r="K63" s="3">
        <v>79875</v>
      </c>
      <c r="L63" s="3">
        <v>18960</v>
      </c>
      <c r="M63" s="3">
        <v>390.4</v>
      </c>
      <c r="N63" s="3">
        <v>0</v>
      </c>
      <c r="O63" s="5">
        <v>80.7</v>
      </c>
      <c r="P63" s="5">
        <v>0.5</v>
      </c>
      <c r="Q63" s="5">
        <v>1.4</v>
      </c>
      <c r="R63" s="5">
        <v>17.399999999999999</v>
      </c>
      <c r="S63" s="5">
        <v>84.9</v>
      </c>
      <c r="T63" s="5">
        <v>14.9</v>
      </c>
      <c r="U63" s="5">
        <v>0.2</v>
      </c>
      <c r="V63" s="5">
        <v>0</v>
      </c>
      <c r="W63" s="5">
        <f t="shared" si="2"/>
        <v>0.2</v>
      </c>
      <c r="X63" s="3">
        <v>-6.3068581885504083</v>
      </c>
      <c r="Y63" t="s">
        <v>616</v>
      </c>
      <c r="Z63" s="4">
        <v>42126</v>
      </c>
      <c r="AA63" t="s">
        <v>423</v>
      </c>
      <c r="AB63" t="s">
        <v>427</v>
      </c>
      <c r="AC63" t="s">
        <v>609</v>
      </c>
      <c r="AD63" t="s">
        <v>1094</v>
      </c>
      <c r="AE63" t="s">
        <v>1365</v>
      </c>
      <c r="AF63" t="s">
        <v>1376</v>
      </c>
      <c r="AG63" s="6">
        <v>0.1</v>
      </c>
      <c r="AH63" s="6">
        <v>0.01</v>
      </c>
      <c r="AI63" s="5">
        <v>159.5</v>
      </c>
      <c r="AJ63" s="2" t="s">
        <v>443</v>
      </c>
      <c r="AK63" s="5">
        <v>148.69999999999999</v>
      </c>
      <c r="AL63" s="5">
        <v>8.1</v>
      </c>
      <c r="AM63" s="5">
        <v>25.9</v>
      </c>
      <c r="AN63" s="5">
        <v>12.92</v>
      </c>
      <c r="AO63" s="2">
        <v>9.6999999999999993</v>
      </c>
      <c r="AP63" s="2">
        <v>74.2</v>
      </c>
      <c r="AQ63" s="2" t="s">
        <v>443</v>
      </c>
      <c r="AR63" s="2" t="s">
        <v>1370</v>
      </c>
      <c r="AS63" t="s">
        <v>1313</v>
      </c>
    </row>
    <row r="64" spans="1:45" x14ac:dyDescent="0.35">
      <c r="A64" t="s">
        <v>737</v>
      </c>
      <c r="B64" t="s">
        <v>1046</v>
      </c>
      <c r="C64" t="s">
        <v>1036</v>
      </c>
      <c r="D64" s="2" t="s">
        <v>594</v>
      </c>
      <c r="E64" s="2" t="s">
        <v>418</v>
      </c>
      <c r="F64" s="2" t="s">
        <v>717</v>
      </c>
      <c r="G64" s="3">
        <v>4050</v>
      </c>
      <c r="H64" s="3">
        <v>101</v>
      </c>
      <c r="I64" s="3">
        <v>100.8</v>
      </c>
      <c r="J64" s="3">
        <v>534.5</v>
      </c>
      <c r="K64" s="3">
        <v>7455</v>
      </c>
      <c r="L64" s="3">
        <v>1370</v>
      </c>
      <c r="M64" s="3">
        <v>329</v>
      </c>
      <c r="N64" s="3">
        <v>48</v>
      </c>
      <c r="O64" s="5">
        <v>77.3</v>
      </c>
      <c r="P64" s="5">
        <v>1.1000000000000001</v>
      </c>
      <c r="Q64" s="5">
        <v>2.2000000000000002</v>
      </c>
      <c r="R64" s="5">
        <v>19.3</v>
      </c>
      <c r="S64" s="5">
        <v>85.6</v>
      </c>
      <c r="T64" s="5">
        <v>11.6</v>
      </c>
      <c r="U64" s="5">
        <v>2.2000000000000002</v>
      </c>
      <c r="V64" s="5">
        <v>0.7</v>
      </c>
      <c r="W64" s="5">
        <f t="shared" si="2"/>
        <v>2.9000000000000004</v>
      </c>
      <c r="X64" s="3">
        <v>-3.8099842604523553</v>
      </c>
      <c r="Y64" t="s">
        <v>616</v>
      </c>
      <c r="Z64" s="4">
        <v>42126</v>
      </c>
      <c r="AA64" t="s">
        <v>423</v>
      </c>
      <c r="AB64" t="s">
        <v>430</v>
      </c>
      <c r="AC64" t="s">
        <v>609</v>
      </c>
      <c r="AD64" t="s">
        <v>1096</v>
      </c>
      <c r="AE64" t="s">
        <v>1365</v>
      </c>
      <c r="AF64" t="s">
        <v>1376</v>
      </c>
      <c r="AG64" s="6">
        <v>0.7</v>
      </c>
      <c r="AH64" s="6">
        <v>0.1</v>
      </c>
      <c r="AI64" s="5">
        <v>22.2</v>
      </c>
      <c r="AJ64" s="2" t="s">
        <v>443</v>
      </c>
      <c r="AK64" s="5">
        <v>14</v>
      </c>
      <c r="AL64" s="5">
        <v>8.6</v>
      </c>
      <c r="AM64" s="5">
        <v>23.6</v>
      </c>
      <c r="AN64" s="5">
        <v>14.33</v>
      </c>
      <c r="AO64" s="2">
        <v>7.5</v>
      </c>
      <c r="AP64" s="2">
        <v>43.3</v>
      </c>
      <c r="AQ64" s="2" t="s">
        <v>443</v>
      </c>
      <c r="AR64" s="2" t="s">
        <v>1370</v>
      </c>
      <c r="AS64" t="s">
        <v>1313</v>
      </c>
    </row>
    <row r="65" spans="1:46" x14ac:dyDescent="0.35">
      <c r="A65" t="s">
        <v>729</v>
      </c>
      <c r="B65" t="s">
        <v>1046</v>
      </c>
      <c r="C65" t="s">
        <v>1036</v>
      </c>
      <c r="D65" s="2" t="s">
        <v>594</v>
      </c>
      <c r="E65" s="2" t="s">
        <v>418</v>
      </c>
      <c r="F65" s="2" t="s">
        <v>717</v>
      </c>
      <c r="G65" s="3">
        <v>4320</v>
      </c>
      <c r="H65" s="3">
        <v>44</v>
      </c>
      <c r="I65" s="3">
        <v>392</v>
      </c>
      <c r="J65" s="3">
        <v>308.7</v>
      </c>
      <c r="K65" s="3">
        <v>3550</v>
      </c>
      <c r="L65" s="3">
        <v>7560</v>
      </c>
      <c r="M65" s="3">
        <v>153</v>
      </c>
      <c r="N65" s="3">
        <v>24</v>
      </c>
      <c r="O65" s="5">
        <v>80.3</v>
      </c>
      <c r="P65" s="5">
        <v>0.5</v>
      </c>
      <c r="Q65" s="5">
        <v>8.4</v>
      </c>
      <c r="R65" s="5">
        <v>10.9</v>
      </c>
      <c r="S65" s="5">
        <v>38.4</v>
      </c>
      <c r="T65" s="5">
        <v>60.3</v>
      </c>
      <c r="U65" s="5">
        <v>1</v>
      </c>
      <c r="V65" s="5">
        <v>0.3</v>
      </c>
      <c r="W65" s="5">
        <f t="shared" si="2"/>
        <v>1.3</v>
      </c>
      <c r="X65" s="3">
        <v>-5.4255983058119703</v>
      </c>
      <c r="Y65" t="s">
        <v>616</v>
      </c>
      <c r="Z65" s="4">
        <v>42128</v>
      </c>
      <c r="AA65" t="s">
        <v>419</v>
      </c>
      <c r="AB65" t="s">
        <v>420</v>
      </c>
      <c r="AC65" t="s">
        <v>609</v>
      </c>
      <c r="AD65" t="s">
        <v>1090</v>
      </c>
      <c r="AE65" t="s">
        <v>1365</v>
      </c>
      <c r="AF65" t="s">
        <v>1376</v>
      </c>
      <c r="AG65" s="6">
        <v>0.2</v>
      </c>
      <c r="AH65" s="2">
        <v>0.01</v>
      </c>
      <c r="AI65" s="5">
        <v>21.4</v>
      </c>
      <c r="AJ65" s="2" t="s">
        <v>443</v>
      </c>
      <c r="AK65" s="5">
        <v>16.399999999999999</v>
      </c>
      <c r="AL65" s="5">
        <v>8.6999999999999993</v>
      </c>
      <c r="AM65" s="5">
        <v>19.399999999999999</v>
      </c>
      <c r="AN65" s="5">
        <v>9.15</v>
      </c>
      <c r="AO65" s="2">
        <v>57.2</v>
      </c>
      <c r="AP65" s="2">
        <v>62.9</v>
      </c>
      <c r="AQ65" s="2" t="s">
        <v>443</v>
      </c>
      <c r="AR65" s="2" t="s">
        <v>1370</v>
      </c>
      <c r="AS65" t="s">
        <v>1313</v>
      </c>
    </row>
    <row r="66" spans="1:46" x14ac:dyDescent="0.35">
      <c r="A66" s="9" t="s">
        <v>733</v>
      </c>
      <c r="B66" t="s">
        <v>1046</v>
      </c>
      <c r="C66" t="s">
        <v>1036</v>
      </c>
      <c r="D66" s="21" t="s">
        <v>594</v>
      </c>
      <c r="E66" s="21" t="s">
        <v>418</v>
      </c>
      <c r="F66" s="2" t="s">
        <v>717</v>
      </c>
      <c r="G66" s="22">
        <v>5790</v>
      </c>
      <c r="H66" s="22">
        <v>68</v>
      </c>
      <c r="I66" s="22">
        <v>384.8</v>
      </c>
      <c r="J66" s="22">
        <v>836.2</v>
      </c>
      <c r="K66" s="22">
        <v>4260</v>
      </c>
      <c r="L66" s="22">
        <v>11429</v>
      </c>
      <c r="M66" s="22">
        <v>354</v>
      </c>
      <c r="N66" s="22">
        <v>0</v>
      </c>
      <c r="O66" s="7">
        <v>73.7</v>
      </c>
      <c r="P66" s="7">
        <v>0.5</v>
      </c>
      <c r="Q66" s="7">
        <v>5.6</v>
      </c>
      <c r="R66" s="7">
        <v>20.100000000000001</v>
      </c>
      <c r="S66" s="7">
        <v>33</v>
      </c>
      <c r="T66" s="7">
        <v>65.400000000000006</v>
      </c>
      <c r="U66" s="7">
        <v>1.6</v>
      </c>
      <c r="V66" s="7">
        <v>0</v>
      </c>
      <c r="W66" s="7">
        <f t="shared" si="2"/>
        <v>1.6</v>
      </c>
      <c r="X66" s="22">
        <v>-3.1626441354440185</v>
      </c>
      <c r="Y66" t="s">
        <v>616</v>
      </c>
      <c r="Z66" s="23">
        <v>42128</v>
      </c>
      <c r="AA66" s="9" t="s">
        <v>419</v>
      </c>
      <c r="AB66" s="9" t="s">
        <v>431</v>
      </c>
      <c r="AC66" t="s">
        <v>609</v>
      </c>
      <c r="AD66" t="s">
        <v>1097</v>
      </c>
      <c r="AE66" t="s">
        <v>1365</v>
      </c>
      <c r="AF66" t="s">
        <v>1376</v>
      </c>
      <c r="AG66" s="10">
        <v>0.1</v>
      </c>
      <c r="AH66" s="10">
        <v>0.01</v>
      </c>
      <c r="AI66" s="7">
        <v>31.3</v>
      </c>
      <c r="AJ66" s="2" t="s">
        <v>443</v>
      </c>
      <c r="AK66" s="7">
        <v>23.1</v>
      </c>
      <c r="AL66" s="7">
        <v>8.5</v>
      </c>
      <c r="AM66" s="7">
        <v>20</v>
      </c>
      <c r="AN66" s="7">
        <v>9.2899999999999991</v>
      </c>
      <c r="AO66" s="21">
        <v>46.8</v>
      </c>
      <c r="AP66" s="21">
        <v>78.599999999999994</v>
      </c>
      <c r="AQ66" s="2" t="s">
        <v>443</v>
      </c>
      <c r="AR66" s="2" t="s">
        <v>1370</v>
      </c>
      <c r="AS66" s="9" t="s">
        <v>1313</v>
      </c>
      <c r="AT66" s="9"/>
    </row>
    <row r="67" spans="1:46" x14ac:dyDescent="0.35">
      <c r="A67" t="s">
        <v>907</v>
      </c>
      <c r="B67" t="s">
        <v>975</v>
      </c>
      <c r="C67" t="s">
        <v>1055</v>
      </c>
      <c r="D67" s="2" t="s">
        <v>592</v>
      </c>
      <c r="E67" s="2" t="s">
        <v>1368</v>
      </c>
      <c r="F67" s="2" t="s">
        <v>716</v>
      </c>
      <c r="G67" s="3">
        <v>426</v>
      </c>
      <c r="H67" s="3">
        <v>34</v>
      </c>
      <c r="I67" s="3">
        <v>16</v>
      </c>
      <c r="J67" s="3">
        <v>156</v>
      </c>
      <c r="K67" s="3">
        <v>329</v>
      </c>
      <c r="L67" s="3">
        <v>524</v>
      </c>
      <c r="M67" s="3">
        <v>769</v>
      </c>
      <c r="N67" s="3">
        <v>29</v>
      </c>
      <c r="O67" s="5">
        <v>56.087550456698345</v>
      </c>
      <c r="P67" s="5">
        <v>2.6320734537650434</v>
      </c>
      <c r="Q67" s="5">
        <v>2.4166742290058285</v>
      </c>
      <c r="R67" s="5">
        <v>38.863701860530767</v>
      </c>
      <c r="S67" s="5">
        <v>27.490468793534955</v>
      </c>
      <c r="T67" s="5">
        <v>32.316267012381871</v>
      </c>
      <c r="U67" s="5">
        <v>37.329882588896375</v>
      </c>
      <c r="V67" s="5">
        <v>2.86338160518679</v>
      </c>
      <c r="W67" s="5">
        <v>40.193264194083163</v>
      </c>
      <c r="X67" s="2">
        <v>-1</v>
      </c>
      <c r="Y67" t="s">
        <v>609</v>
      </c>
      <c r="Z67" s="4">
        <v>42318</v>
      </c>
      <c r="AA67" t="s">
        <v>55</v>
      </c>
      <c r="AB67" t="s">
        <v>56</v>
      </c>
      <c r="AC67" t="s">
        <v>1324</v>
      </c>
      <c r="AD67" t="s">
        <v>906</v>
      </c>
      <c r="AE67" t="s">
        <v>1365</v>
      </c>
      <c r="AF67" t="s">
        <v>1376</v>
      </c>
      <c r="AG67" s="6">
        <v>1.5</v>
      </c>
      <c r="AH67" s="2">
        <v>0.5</v>
      </c>
      <c r="AI67" s="5">
        <v>1.9</v>
      </c>
      <c r="AJ67" s="5">
        <v>1.5</v>
      </c>
      <c r="AK67" s="5" t="s">
        <v>443</v>
      </c>
      <c r="AL67" s="5">
        <v>9.6999999999999993</v>
      </c>
      <c r="AM67" s="5">
        <v>9.8000000000000007</v>
      </c>
      <c r="AN67" s="5" t="s">
        <v>443</v>
      </c>
      <c r="AO67" s="2">
        <v>7.8</v>
      </c>
      <c r="AP67" s="5" t="s">
        <v>443</v>
      </c>
      <c r="AQ67" s="5" t="s">
        <v>443</v>
      </c>
      <c r="AR67" s="2" t="s">
        <v>1370</v>
      </c>
      <c r="AS67" t="s">
        <v>1324</v>
      </c>
    </row>
    <row r="68" spans="1:46" x14ac:dyDescent="0.35">
      <c r="A68" t="s">
        <v>918</v>
      </c>
      <c r="B68" t="s">
        <v>975</v>
      </c>
      <c r="C68" t="s">
        <v>1056</v>
      </c>
      <c r="D68" s="2" t="s">
        <v>592</v>
      </c>
      <c r="E68" s="2" t="s">
        <v>1368</v>
      </c>
      <c r="F68" s="2" t="s">
        <v>716</v>
      </c>
      <c r="G68" s="3">
        <v>424</v>
      </c>
      <c r="H68" s="3">
        <v>35</v>
      </c>
      <c r="I68" s="3">
        <v>26</v>
      </c>
      <c r="J68" s="3">
        <v>158</v>
      </c>
      <c r="K68" s="3">
        <v>315</v>
      </c>
      <c r="L68" s="3">
        <v>500</v>
      </c>
      <c r="M68" s="3">
        <v>769</v>
      </c>
      <c r="N68" s="3">
        <v>58</v>
      </c>
      <c r="O68" s="5">
        <v>54.824898965630709</v>
      </c>
      <c r="P68" s="5">
        <v>2.6609838677251569</v>
      </c>
      <c r="Q68" s="5">
        <v>3.8567952665089744</v>
      </c>
      <c r="R68" s="5">
        <v>38.657321900135159</v>
      </c>
      <c r="S68" s="5">
        <v>26.264602428829388</v>
      </c>
      <c r="T68" s="5">
        <v>30.770456166681598</v>
      </c>
      <c r="U68" s="5">
        <v>37.250375367037577</v>
      </c>
      <c r="V68" s="5">
        <v>5.7145660374514389</v>
      </c>
      <c r="W68" s="5">
        <v>42.964941404489018</v>
      </c>
      <c r="X68" s="2">
        <v>0</v>
      </c>
      <c r="Y68" t="s">
        <v>609</v>
      </c>
      <c r="Z68" s="4">
        <v>42318</v>
      </c>
      <c r="AA68" t="s">
        <v>55</v>
      </c>
      <c r="AB68" t="s">
        <v>57</v>
      </c>
      <c r="AC68" t="s">
        <v>1324</v>
      </c>
      <c r="AD68" t="s">
        <v>931</v>
      </c>
      <c r="AE68" t="s">
        <v>1365</v>
      </c>
      <c r="AF68" t="s">
        <v>1376</v>
      </c>
      <c r="AG68" s="6">
        <v>1</v>
      </c>
      <c r="AH68" s="2">
        <v>0.5</v>
      </c>
      <c r="AI68" s="5">
        <v>2.1</v>
      </c>
      <c r="AJ68" s="5">
        <v>1.7</v>
      </c>
      <c r="AK68" s="5" t="s">
        <v>443</v>
      </c>
      <c r="AL68" s="5">
        <v>9.1999999999999993</v>
      </c>
      <c r="AM68" s="5">
        <v>9.9</v>
      </c>
      <c r="AN68" s="5" t="s">
        <v>443</v>
      </c>
      <c r="AO68" s="2">
        <v>2.2999999999999998</v>
      </c>
      <c r="AP68" s="5" t="s">
        <v>443</v>
      </c>
      <c r="AQ68" s="5" t="s">
        <v>443</v>
      </c>
      <c r="AR68" s="2" t="s">
        <v>1370</v>
      </c>
      <c r="AS68" t="s">
        <v>1324</v>
      </c>
    </row>
    <row r="69" spans="1:46" x14ac:dyDescent="0.35">
      <c r="A69" t="s">
        <v>908</v>
      </c>
      <c r="B69" t="s">
        <v>975</v>
      </c>
      <c r="C69" t="s">
        <v>1055</v>
      </c>
      <c r="D69" s="2" t="s">
        <v>592</v>
      </c>
      <c r="E69" s="2" t="s">
        <v>1368</v>
      </c>
      <c r="F69" s="2" t="s">
        <v>716</v>
      </c>
      <c r="G69" s="3">
        <v>426</v>
      </c>
      <c r="H69" s="3">
        <v>34</v>
      </c>
      <c r="I69" s="3">
        <v>16</v>
      </c>
      <c r="J69" s="3">
        <v>156</v>
      </c>
      <c r="K69" s="3">
        <v>329</v>
      </c>
      <c r="L69" s="3">
        <v>524</v>
      </c>
      <c r="M69" s="3">
        <v>769</v>
      </c>
      <c r="N69" s="3">
        <v>29</v>
      </c>
      <c r="O69" s="5">
        <v>56.087550456698345</v>
      </c>
      <c r="P69" s="5">
        <v>2.6320734537650434</v>
      </c>
      <c r="Q69" s="5">
        <v>2.4166742290058285</v>
      </c>
      <c r="R69" s="5">
        <v>38.863701860530767</v>
      </c>
      <c r="S69" s="5">
        <v>27.490468793534955</v>
      </c>
      <c r="T69" s="5">
        <v>32.316267012381871</v>
      </c>
      <c r="U69" s="5">
        <v>37.329882588896375</v>
      </c>
      <c r="V69" s="5">
        <v>2.86338160518679</v>
      </c>
      <c r="W69" s="5">
        <v>40.193264194083163</v>
      </c>
      <c r="X69" s="2">
        <v>-1</v>
      </c>
      <c r="Y69" t="s">
        <v>609</v>
      </c>
      <c r="Z69" s="4">
        <v>42345</v>
      </c>
      <c r="AA69" t="s">
        <v>55</v>
      </c>
      <c r="AB69" t="s">
        <v>56</v>
      </c>
      <c r="AC69" t="s">
        <v>609</v>
      </c>
      <c r="AD69" t="s">
        <v>1103</v>
      </c>
      <c r="AE69" t="s">
        <v>1365</v>
      </c>
      <c r="AF69" t="s">
        <v>1376</v>
      </c>
      <c r="AG69" s="6">
        <v>1.4</v>
      </c>
      <c r="AH69" s="2">
        <v>0.5</v>
      </c>
      <c r="AI69" s="5">
        <v>1.9</v>
      </c>
      <c r="AJ69" s="5">
        <v>1.5</v>
      </c>
      <c r="AK69" s="5" t="s">
        <v>443</v>
      </c>
      <c r="AL69" s="5">
        <v>9.6999999999999993</v>
      </c>
      <c r="AM69" s="5">
        <v>5</v>
      </c>
      <c r="AN69" s="5" t="s">
        <v>443</v>
      </c>
      <c r="AO69" s="2">
        <v>8</v>
      </c>
      <c r="AP69" s="5" t="s">
        <v>443</v>
      </c>
      <c r="AQ69" s="5" t="s">
        <v>443</v>
      </c>
      <c r="AR69" s="2" t="s">
        <v>1370</v>
      </c>
      <c r="AS69" t="s">
        <v>609</v>
      </c>
    </row>
    <row r="70" spans="1:46" x14ac:dyDescent="0.35">
      <c r="A70" t="s">
        <v>919</v>
      </c>
      <c r="B70" t="s">
        <v>975</v>
      </c>
      <c r="C70" t="s">
        <v>1056</v>
      </c>
      <c r="D70" s="2" t="s">
        <v>592</v>
      </c>
      <c r="E70" s="2" t="s">
        <v>1368</v>
      </c>
      <c r="F70" s="2" t="s">
        <v>716</v>
      </c>
      <c r="G70" s="3">
        <v>424</v>
      </c>
      <c r="H70" s="3">
        <v>35</v>
      </c>
      <c r="I70" s="3">
        <v>26</v>
      </c>
      <c r="J70" s="3">
        <v>158</v>
      </c>
      <c r="K70" s="3">
        <v>315</v>
      </c>
      <c r="L70" s="3">
        <v>500</v>
      </c>
      <c r="M70" s="3">
        <v>769</v>
      </c>
      <c r="N70" s="3">
        <v>58</v>
      </c>
      <c r="O70" s="5">
        <v>54.824898965630709</v>
      </c>
      <c r="P70" s="5">
        <v>2.6609838677251569</v>
      </c>
      <c r="Q70" s="5">
        <v>3.8567952665089744</v>
      </c>
      <c r="R70" s="5">
        <v>38.657321900135159</v>
      </c>
      <c r="S70" s="5">
        <v>26.264602428829388</v>
      </c>
      <c r="T70" s="5">
        <v>30.770456166681598</v>
      </c>
      <c r="U70" s="5">
        <v>37.250375367037577</v>
      </c>
      <c r="V70" s="5">
        <v>5.7145660374514389</v>
      </c>
      <c r="W70" s="5">
        <v>42.964941404489018</v>
      </c>
      <c r="X70" s="2">
        <v>0</v>
      </c>
      <c r="Y70" t="s">
        <v>609</v>
      </c>
      <c r="Z70" s="4">
        <v>42345</v>
      </c>
      <c r="AA70" t="s">
        <v>55</v>
      </c>
      <c r="AB70" t="s">
        <v>57</v>
      </c>
      <c r="AC70" t="s">
        <v>609</v>
      </c>
      <c r="AD70" t="s">
        <v>1112</v>
      </c>
      <c r="AE70" t="s">
        <v>1365</v>
      </c>
      <c r="AF70" t="s">
        <v>1376</v>
      </c>
      <c r="AG70" s="6">
        <v>0.8</v>
      </c>
      <c r="AH70" s="2">
        <v>0.5</v>
      </c>
      <c r="AI70" s="5">
        <v>2.1</v>
      </c>
      <c r="AJ70" s="5">
        <v>1.7</v>
      </c>
      <c r="AK70" s="5" t="s">
        <v>443</v>
      </c>
      <c r="AL70" s="5">
        <v>9.1</v>
      </c>
      <c r="AM70" s="5">
        <v>4.8</v>
      </c>
      <c r="AN70" s="5" t="s">
        <v>443</v>
      </c>
      <c r="AO70" s="2">
        <v>1.5</v>
      </c>
      <c r="AP70" s="5" t="s">
        <v>443</v>
      </c>
      <c r="AQ70" s="5" t="s">
        <v>443</v>
      </c>
      <c r="AR70" s="2" t="s">
        <v>1370</v>
      </c>
      <c r="AS70" t="s">
        <v>609</v>
      </c>
    </row>
    <row r="71" spans="1:46" x14ac:dyDescent="0.35">
      <c r="A71" t="s">
        <v>909</v>
      </c>
      <c r="B71" t="s">
        <v>975</v>
      </c>
      <c r="C71" t="s">
        <v>1055</v>
      </c>
      <c r="D71" s="2" t="s">
        <v>592</v>
      </c>
      <c r="E71" s="2" t="s">
        <v>1368</v>
      </c>
      <c r="F71" s="2" t="s">
        <v>716</v>
      </c>
      <c r="G71" s="3">
        <v>426</v>
      </c>
      <c r="H71" s="3">
        <v>34</v>
      </c>
      <c r="I71" s="3">
        <v>16</v>
      </c>
      <c r="J71" s="3">
        <v>156</v>
      </c>
      <c r="K71" s="3">
        <v>329</v>
      </c>
      <c r="L71" s="3">
        <v>524</v>
      </c>
      <c r="M71" s="3">
        <v>769</v>
      </c>
      <c r="N71" s="3">
        <v>29</v>
      </c>
      <c r="O71" s="5">
        <v>56.087550456698303</v>
      </c>
      <c r="P71" s="5">
        <v>2.6320734537650399</v>
      </c>
      <c r="Q71" s="5">
        <v>2.4166742290058298</v>
      </c>
      <c r="R71" s="5">
        <v>38.863701860530803</v>
      </c>
      <c r="S71" s="5">
        <v>27.490468793535001</v>
      </c>
      <c r="T71" s="5">
        <v>32.3162670123819</v>
      </c>
      <c r="U71" s="5">
        <v>37.329882588896403</v>
      </c>
      <c r="V71" s="5">
        <v>2.86338160518679</v>
      </c>
      <c r="W71" s="5">
        <v>40.193264194083199</v>
      </c>
      <c r="X71" s="2">
        <v>-1</v>
      </c>
      <c r="Y71" t="s">
        <v>609</v>
      </c>
      <c r="Z71" s="4">
        <v>42422</v>
      </c>
      <c r="AA71" t="s">
        <v>55</v>
      </c>
      <c r="AB71" t="s">
        <v>56</v>
      </c>
      <c r="AC71" t="s">
        <v>609</v>
      </c>
      <c r="AD71" t="s">
        <v>1104</v>
      </c>
      <c r="AE71" t="s">
        <v>1365</v>
      </c>
      <c r="AF71" t="s">
        <v>1376</v>
      </c>
      <c r="AG71" s="6">
        <v>1.5</v>
      </c>
      <c r="AH71" s="2">
        <v>0.5</v>
      </c>
      <c r="AI71" s="5">
        <v>1.8</v>
      </c>
      <c r="AJ71" s="5">
        <v>1.4</v>
      </c>
      <c r="AK71" s="5" t="s">
        <v>443</v>
      </c>
      <c r="AL71" s="5">
        <v>9.5</v>
      </c>
      <c r="AM71" s="5">
        <v>5.2</v>
      </c>
      <c r="AN71" s="5">
        <v>12.28</v>
      </c>
      <c r="AO71" s="2">
        <v>10.4</v>
      </c>
      <c r="AP71" s="5" t="s">
        <v>443</v>
      </c>
      <c r="AQ71" s="5" t="s">
        <v>443</v>
      </c>
      <c r="AR71" s="2" t="s">
        <v>1370</v>
      </c>
      <c r="AS71" t="s">
        <v>609</v>
      </c>
    </row>
    <row r="72" spans="1:46" x14ac:dyDescent="0.35">
      <c r="A72" t="s">
        <v>920</v>
      </c>
      <c r="B72" t="s">
        <v>975</v>
      </c>
      <c r="C72" t="s">
        <v>1056</v>
      </c>
      <c r="D72" s="2" t="s">
        <v>592</v>
      </c>
      <c r="E72" s="2" t="s">
        <v>1368</v>
      </c>
      <c r="F72" s="2" t="s">
        <v>716</v>
      </c>
      <c r="G72" s="3">
        <v>424</v>
      </c>
      <c r="H72" s="3">
        <v>35</v>
      </c>
      <c r="I72" s="3">
        <v>26</v>
      </c>
      <c r="J72" s="3">
        <v>158</v>
      </c>
      <c r="K72" s="3">
        <v>315</v>
      </c>
      <c r="L72" s="3">
        <v>500</v>
      </c>
      <c r="M72" s="3">
        <v>769</v>
      </c>
      <c r="N72" s="3">
        <v>58</v>
      </c>
      <c r="O72" s="5">
        <v>54.824898965630709</v>
      </c>
      <c r="P72" s="5">
        <v>2.6609838677251569</v>
      </c>
      <c r="Q72" s="5">
        <v>3.8567952665089744</v>
      </c>
      <c r="R72" s="5">
        <v>38.657321900135159</v>
      </c>
      <c r="S72" s="5">
        <v>26.264602428829388</v>
      </c>
      <c r="T72" s="5">
        <v>30.770456166681598</v>
      </c>
      <c r="U72" s="5">
        <v>37.250375367037577</v>
      </c>
      <c r="V72" s="5">
        <v>5.7145660374514389</v>
      </c>
      <c r="W72" s="5">
        <v>42.964941404489018</v>
      </c>
      <c r="X72" s="2">
        <v>0</v>
      </c>
      <c r="Y72" t="s">
        <v>609</v>
      </c>
      <c r="Z72" s="4">
        <v>42422</v>
      </c>
      <c r="AA72" t="s">
        <v>55</v>
      </c>
      <c r="AB72" t="s">
        <v>57</v>
      </c>
      <c r="AC72" t="s">
        <v>609</v>
      </c>
      <c r="AD72" t="s">
        <v>1113</v>
      </c>
      <c r="AE72" t="s">
        <v>1365</v>
      </c>
      <c r="AF72" t="s">
        <v>1376</v>
      </c>
      <c r="AG72" s="6">
        <v>1.02</v>
      </c>
      <c r="AH72" s="2">
        <v>0.5</v>
      </c>
      <c r="AI72" s="5">
        <v>1.7</v>
      </c>
      <c r="AJ72" s="5">
        <v>1.4</v>
      </c>
      <c r="AK72" s="5" t="s">
        <v>443</v>
      </c>
      <c r="AL72" s="5">
        <v>9.1</v>
      </c>
      <c r="AM72" s="5">
        <v>5.9</v>
      </c>
      <c r="AN72" s="5">
        <v>7.99</v>
      </c>
      <c r="AO72" s="2">
        <v>3.7</v>
      </c>
      <c r="AP72" s="5" t="s">
        <v>443</v>
      </c>
      <c r="AQ72" s="5" t="s">
        <v>443</v>
      </c>
      <c r="AR72" s="2" t="s">
        <v>1370</v>
      </c>
      <c r="AS72" t="s">
        <v>609</v>
      </c>
    </row>
    <row r="73" spans="1:46" x14ac:dyDescent="0.35">
      <c r="A73" t="s">
        <v>910</v>
      </c>
      <c r="B73" t="s">
        <v>975</v>
      </c>
      <c r="C73" t="s">
        <v>1055</v>
      </c>
      <c r="D73" s="2" t="s">
        <v>592</v>
      </c>
      <c r="E73" s="2" t="s">
        <v>1368</v>
      </c>
      <c r="F73" s="2" t="s">
        <v>716</v>
      </c>
      <c r="G73" s="3">
        <v>426</v>
      </c>
      <c r="H73" s="3">
        <v>34</v>
      </c>
      <c r="I73" s="3">
        <v>16</v>
      </c>
      <c r="J73" s="3">
        <v>156</v>
      </c>
      <c r="K73" s="3">
        <v>329</v>
      </c>
      <c r="L73" s="3">
        <v>524</v>
      </c>
      <c r="M73" s="3">
        <v>769</v>
      </c>
      <c r="N73" s="3">
        <v>29</v>
      </c>
      <c r="O73" s="5">
        <v>56.087550456698303</v>
      </c>
      <c r="P73" s="5">
        <v>2.6320734537650399</v>
      </c>
      <c r="Q73" s="5">
        <v>2.4166742290058298</v>
      </c>
      <c r="R73" s="5">
        <v>38.863701860530803</v>
      </c>
      <c r="S73" s="5">
        <v>27.490468793535001</v>
      </c>
      <c r="T73" s="5">
        <v>32.3162670123819</v>
      </c>
      <c r="U73" s="5">
        <v>37.329882588896403</v>
      </c>
      <c r="V73" s="5">
        <v>2.86338160518679</v>
      </c>
      <c r="W73" s="5">
        <v>40.193264194083199</v>
      </c>
      <c r="X73" s="2">
        <v>-1</v>
      </c>
      <c r="Y73" t="s">
        <v>609</v>
      </c>
      <c r="Z73" s="4">
        <v>42458</v>
      </c>
      <c r="AA73" t="s">
        <v>55</v>
      </c>
      <c r="AB73" t="s">
        <v>56</v>
      </c>
      <c r="AC73" t="s">
        <v>609</v>
      </c>
      <c r="AD73" t="s">
        <v>1105</v>
      </c>
      <c r="AE73" t="s">
        <v>1365</v>
      </c>
      <c r="AF73" t="s">
        <v>1376</v>
      </c>
      <c r="AG73" s="6">
        <v>1.5</v>
      </c>
      <c r="AH73" s="2">
        <v>0.5</v>
      </c>
      <c r="AI73" s="5">
        <v>1.7</v>
      </c>
      <c r="AJ73" s="5">
        <v>1.4</v>
      </c>
      <c r="AK73" s="5" t="s">
        <v>443</v>
      </c>
      <c r="AL73" s="5">
        <v>9.4</v>
      </c>
      <c r="AM73" s="5">
        <v>9.3000000000000007</v>
      </c>
      <c r="AN73" s="5" t="s">
        <v>443</v>
      </c>
      <c r="AO73" s="2">
        <v>12.4</v>
      </c>
      <c r="AP73" s="5" t="s">
        <v>443</v>
      </c>
      <c r="AQ73" s="5" t="s">
        <v>443</v>
      </c>
      <c r="AR73" s="2" t="s">
        <v>1370</v>
      </c>
      <c r="AS73" t="s">
        <v>609</v>
      </c>
    </row>
    <row r="74" spans="1:46" x14ac:dyDescent="0.35">
      <c r="A74" t="s">
        <v>921</v>
      </c>
      <c r="B74" t="s">
        <v>975</v>
      </c>
      <c r="C74" t="s">
        <v>1056</v>
      </c>
      <c r="D74" s="2" t="s">
        <v>592</v>
      </c>
      <c r="E74" s="2" t="s">
        <v>1368</v>
      </c>
      <c r="F74" s="2" t="s">
        <v>716</v>
      </c>
      <c r="G74" s="3">
        <v>424</v>
      </c>
      <c r="H74" s="3">
        <v>35</v>
      </c>
      <c r="I74" s="3">
        <v>26</v>
      </c>
      <c r="J74" s="3">
        <v>158</v>
      </c>
      <c r="K74" s="3">
        <v>315</v>
      </c>
      <c r="L74" s="3">
        <v>500</v>
      </c>
      <c r="M74" s="3">
        <v>769</v>
      </c>
      <c r="N74" s="3">
        <v>58</v>
      </c>
      <c r="O74" s="5">
        <v>54.824898965630702</v>
      </c>
      <c r="P74" s="5">
        <v>2.66098386772516</v>
      </c>
      <c r="Q74" s="5">
        <v>3.85679526650897</v>
      </c>
      <c r="R74" s="5">
        <v>38.657321900135202</v>
      </c>
      <c r="S74" s="5">
        <v>26.264602428829399</v>
      </c>
      <c r="T74" s="5">
        <v>30.770456166681601</v>
      </c>
      <c r="U74" s="5">
        <v>37.250375367037599</v>
      </c>
      <c r="V74" s="5">
        <v>5.7145660374514398</v>
      </c>
      <c r="W74" s="5">
        <v>42.964941404488997</v>
      </c>
      <c r="X74" s="2">
        <v>0</v>
      </c>
      <c r="Y74" t="s">
        <v>609</v>
      </c>
      <c r="Z74" s="4">
        <v>42458</v>
      </c>
      <c r="AA74" t="s">
        <v>55</v>
      </c>
      <c r="AB74" t="s">
        <v>57</v>
      </c>
      <c r="AC74" t="s">
        <v>609</v>
      </c>
      <c r="AD74" t="s">
        <v>1114</v>
      </c>
      <c r="AE74" t="s">
        <v>1365</v>
      </c>
      <c r="AF74" t="s">
        <v>1376</v>
      </c>
      <c r="AG74" s="6">
        <v>1</v>
      </c>
      <c r="AH74" s="2">
        <v>0.5</v>
      </c>
      <c r="AI74" s="5">
        <v>1.8</v>
      </c>
      <c r="AJ74" s="5">
        <v>1.5</v>
      </c>
      <c r="AK74" s="5" t="s">
        <v>443</v>
      </c>
      <c r="AL74" s="5">
        <v>8.6999999999999993</v>
      </c>
      <c r="AM74" s="5">
        <v>11</v>
      </c>
      <c r="AN74" s="5" t="s">
        <v>443</v>
      </c>
      <c r="AO74" s="2">
        <v>1.5</v>
      </c>
      <c r="AP74" s="5" t="s">
        <v>443</v>
      </c>
      <c r="AQ74" s="5" t="s">
        <v>443</v>
      </c>
      <c r="AR74" s="2" t="s">
        <v>1370</v>
      </c>
      <c r="AS74" t="s">
        <v>609</v>
      </c>
    </row>
    <row r="75" spans="1:46" x14ac:dyDescent="0.35">
      <c r="A75" t="s">
        <v>911</v>
      </c>
      <c r="B75" t="s">
        <v>975</v>
      </c>
      <c r="C75" t="s">
        <v>1055</v>
      </c>
      <c r="D75" s="2" t="s">
        <v>592</v>
      </c>
      <c r="E75" s="2" t="s">
        <v>1368</v>
      </c>
      <c r="F75" s="2" t="s">
        <v>716</v>
      </c>
      <c r="G75" s="3">
        <v>426</v>
      </c>
      <c r="H75" s="3">
        <v>34</v>
      </c>
      <c r="I75" s="3">
        <v>16</v>
      </c>
      <c r="J75" s="3">
        <v>156</v>
      </c>
      <c r="K75" s="3">
        <v>329</v>
      </c>
      <c r="L75" s="3">
        <v>524</v>
      </c>
      <c r="M75" s="3">
        <v>769</v>
      </c>
      <c r="N75" s="3">
        <v>29</v>
      </c>
      <c r="O75" s="5">
        <v>56.087550456698303</v>
      </c>
      <c r="P75" s="5">
        <v>2.6320734537650399</v>
      </c>
      <c r="Q75" s="5">
        <v>2.4166742290058298</v>
      </c>
      <c r="R75" s="5">
        <v>38.863701860530803</v>
      </c>
      <c r="S75" s="5">
        <v>27.490468793535001</v>
      </c>
      <c r="T75" s="5">
        <v>32.3162670123819</v>
      </c>
      <c r="U75" s="5">
        <v>37.329882588896403</v>
      </c>
      <c r="V75" s="5">
        <v>2.86338160518679</v>
      </c>
      <c r="W75" s="5">
        <v>40.193264194083199</v>
      </c>
      <c r="X75" s="2">
        <v>-1</v>
      </c>
      <c r="Y75" t="s">
        <v>609</v>
      </c>
      <c r="Z75" s="4">
        <v>42478</v>
      </c>
      <c r="AA75" t="s">
        <v>55</v>
      </c>
      <c r="AB75" t="s">
        <v>56</v>
      </c>
      <c r="AC75" t="s">
        <v>609</v>
      </c>
      <c r="AD75" t="s">
        <v>1106</v>
      </c>
      <c r="AE75" t="s">
        <v>1365</v>
      </c>
      <c r="AF75" t="s">
        <v>1376</v>
      </c>
      <c r="AG75" s="6">
        <v>1</v>
      </c>
      <c r="AH75" s="2">
        <v>0.5</v>
      </c>
      <c r="AI75" s="5">
        <v>1.9</v>
      </c>
      <c r="AJ75" s="5">
        <v>1.5</v>
      </c>
      <c r="AK75" s="5" t="s">
        <v>443</v>
      </c>
      <c r="AL75" s="5">
        <v>9.6</v>
      </c>
      <c r="AM75" s="5">
        <v>14.5</v>
      </c>
      <c r="AN75" s="5">
        <v>9.5399999999999991</v>
      </c>
      <c r="AO75" s="2">
        <v>18.899999999999999</v>
      </c>
      <c r="AP75" s="5" t="s">
        <v>443</v>
      </c>
      <c r="AQ75" s="5" t="s">
        <v>443</v>
      </c>
      <c r="AR75" s="2" t="s">
        <v>1370</v>
      </c>
      <c r="AS75" t="s">
        <v>609</v>
      </c>
    </row>
    <row r="76" spans="1:46" x14ac:dyDescent="0.35">
      <c r="A76" t="s">
        <v>922</v>
      </c>
      <c r="B76" t="s">
        <v>975</v>
      </c>
      <c r="C76" t="s">
        <v>1056</v>
      </c>
      <c r="D76" s="2" t="s">
        <v>592</v>
      </c>
      <c r="E76" s="2" t="s">
        <v>1368</v>
      </c>
      <c r="F76" s="2" t="s">
        <v>716</v>
      </c>
      <c r="G76" s="3">
        <v>424</v>
      </c>
      <c r="H76" s="3">
        <v>35</v>
      </c>
      <c r="I76" s="3">
        <v>26</v>
      </c>
      <c r="J76" s="3">
        <v>158</v>
      </c>
      <c r="K76" s="3">
        <v>315</v>
      </c>
      <c r="L76" s="3">
        <v>500</v>
      </c>
      <c r="M76" s="3">
        <v>769</v>
      </c>
      <c r="N76" s="3">
        <v>58</v>
      </c>
      <c r="O76" s="5">
        <v>54.824898965630702</v>
      </c>
      <c r="P76" s="5">
        <v>2.66098386772516</v>
      </c>
      <c r="Q76" s="5">
        <v>3.85679526650897</v>
      </c>
      <c r="R76" s="5">
        <v>38.657321900135202</v>
      </c>
      <c r="S76" s="5">
        <v>26.264602428829399</v>
      </c>
      <c r="T76" s="5">
        <v>30.770456166681601</v>
      </c>
      <c r="U76" s="5">
        <v>37.250375367037599</v>
      </c>
      <c r="V76" s="5">
        <v>5.7145660374514398</v>
      </c>
      <c r="W76" s="5">
        <v>42.964941404488997</v>
      </c>
      <c r="X76" s="2">
        <v>0</v>
      </c>
      <c r="Y76" t="s">
        <v>609</v>
      </c>
      <c r="Z76" s="4">
        <v>42478</v>
      </c>
      <c r="AA76" t="s">
        <v>55</v>
      </c>
      <c r="AB76" t="s">
        <v>57</v>
      </c>
      <c r="AC76" t="s">
        <v>609</v>
      </c>
      <c r="AD76" t="s">
        <v>1115</v>
      </c>
      <c r="AE76" t="s">
        <v>1365</v>
      </c>
      <c r="AF76" t="s">
        <v>1376</v>
      </c>
      <c r="AG76" s="6">
        <v>1.2</v>
      </c>
      <c r="AH76" s="2">
        <v>0.5</v>
      </c>
      <c r="AI76" s="5">
        <v>1.9</v>
      </c>
      <c r="AJ76" s="5">
        <v>1.5</v>
      </c>
      <c r="AK76" s="5" t="s">
        <v>443</v>
      </c>
      <c r="AL76" s="5">
        <v>9.1</v>
      </c>
      <c r="AM76" s="5">
        <v>15.1</v>
      </c>
      <c r="AN76" s="5">
        <v>5.54</v>
      </c>
      <c r="AO76" s="2">
        <v>2.8</v>
      </c>
      <c r="AP76" s="5" t="s">
        <v>443</v>
      </c>
      <c r="AQ76" s="5" t="s">
        <v>443</v>
      </c>
      <c r="AR76" s="2" t="s">
        <v>1370</v>
      </c>
      <c r="AS76" t="s">
        <v>609</v>
      </c>
    </row>
    <row r="77" spans="1:46" x14ac:dyDescent="0.35">
      <c r="A77" t="s">
        <v>912</v>
      </c>
      <c r="B77" t="s">
        <v>975</v>
      </c>
      <c r="C77" t="s">
        <v>1055</v>
      </c>
      <c r="D77" s="2" t="s">
        <v>592</v>
      </c>
      <c r="E77" s="2" t="s">
        <v>1368</v>
      </c>
      <c r="F77" s="2" t="s">
        <v>716</v>
      </c>
      <c r="G77" s="3">
        <v>426</v>
      </c>
      <c r="H77" s="3">
        <v>34</v>
      </c>
      <c r="I77" s="3">
        <v>16</v>
      </c>
      <c r="J77" s="3">
        <v>156</v>
      </c>
      <c r="K77" s="3">
        <v>329</v>
      </c>
      <c r="L77" s="3">
        <v>524</v>
      </c>
      <c r="M77" s="3">
        <v>769</v>
      </c>
      <c r="N77" s="3">
        <v>29</v>
      </c>
      <c r="O77" s="5">
        <v>56.087550456698303</v>
      </c>
      <c r="P77" s="5">
        <v>2.6320734537650399</v>
      </c>
      <c r="Q77" s="5">
        <v>2.4166742290058298</v>
      </c>
      <c r="R77" s="5">
        <v>38.863701860530803</v>
      </c>
      <c r="S77" s="5">
        <v>27.490468793535001</v>
      </c>
      <c r="T77" s="5">
        <v>32.3162670123819</v>
      </c>
      <c r="U77" s="5">
        <v>37.329882588896403</v>
      </c>
      <c r="V77" s="5">
        <v>2.86338160518679</v>
      </c>
      <c r="W77" s="5">
        <v>40.193264194083199</v>
      </c>
      <c r="X77" s="2">
        <v>-1</v>
      </c>
      <c r="Y77" t="s">
        <v>609</v>
      </c>
      <c r="Z77" s="4">
        <v>42508</v>
      </c>
      <c r="AA77" t="s">
        <v>55</v>
      </c>
      <c r="AB77" t="s">
        <v>56</v>
      </c>
      <c r="AC77" t="s">
        <v>609</v>
      </c>
      <c r="AD77" t="s">
        <v>1107</v>
      </c>
      <c r="AE77" t="s">
        <v>1365</v>
      </c>
      <c r="AF77" t="s">
        <v>1376</v>
      </c>
      <c r="AG77" s="6">
        <v>1.68</v>
      </c>
      <c r="AH77" s="2">
        <v>0.5</v>
      </c>
      <c r="AI77" s="5">
        <v>1.8</v>
      </c>
      <c r="AJ77" s="5">
        <v>1.4</v>
      </c>
      <c r="AK77" s="5" t="s">
        <v>443</v>
      </c>
      <c r="AL77" s="5">
        <v>9.6999999999999993</v>
      </c>
      <c r="AM77" s="5">
        <v>14.5</v>
      </c>
      <c r="AN77" s="5">
        <v>10.119999999999999</v>
      </c>
      <c r="AO77" s="2">
        <v>6.6</v>
      </c>
      <c r="AP77" s="5" t="s">
        <v>443</v>
      </c>
      <c r="AQ77" s="5" t="s">
        <v>443</v>
      </c>
      <c r="AR77" s="2" t="s">
        <v>1370</v>
      </c>
      <c r="AS77" t="s">
        <v>609</v>
      </c>
    </row>
    <row r="78" spans="1:46" x14ac:dyDescent="0.35">
      <c r="A78" t="s">
        <v>923</v>
      </c>
      <c r="B78" t="s">
        <v>975</v>
      </c>
      <c r="C78" t="s">
        <v>1056</v>
      </c>
      <c r="D78" s="2" t="s">
        <v>592</v>
      </c>
      <c r="E78" s="2" t="s">
        <v>1368</v>
      </c>
      <c r="F78" s="2" t="s">
        <v>716</v>
      </c>
      <c r="G78" s="3">
        <v>424</v>
      </c>
      <c r="H78" s="3">
        <v>35</v>
      </c>
      <c r="I78" s="3">
        <v>26</v>
      </c>
      <c r="J78" s="3">
        <v>158</v>
      </c>
      <c r="K78" s="3">
        <v>315</v>
      </c>
      <c r="L78" s="3">
        <v>500</v>
      </c>
      <c r="M78" s="3">
        <v>769</v>
      </c>
      <c r="N78" s="3">
        <v>58</v>
      </c>
      <c r="O78" s="5">
        <v>54.824898965630702</v>
      </c>
      <c r="P78" s="5">
        <v>2.66098386772516</v>
      </c>
      <c r="Q78" s="5">
        <v>3.85679526650897</v>
      </c>
      <c r="R78" s="5">
        <v>38.657321900135202</v>
      </c>
      <c r="S78" s="5">
        <v>26.264602428829399</v>
      </c>
      <c r="T78" s="5">
        <v>30.770456166681601</v>
      </c>
      <c r="U78" s="5">
        <v>37.250375367037599</v>
      </c>
      <c r="V78" s="5">
        <v>5.7145660374514398</v>
      </c>
      <c r="W78" s="5">
        <v>42.964941404488997</v>
      </c>
      <c r="X78" s="2">
        <v>0</v>
      </c>
      <c r="Y78" t="s">
        <v>609</v>
      </c>
      <c r="Z78" s="4">
        <v>42508</v>
      </c>
      <c r="AA78" t="s">
        <v>55</v>
      </c>
      <c r="AB78" t="s">
        <v>57</v>
      </c>
      <c r="AC78" t="s">
        <v>609</v>
      </c>
      <c r="AD78" t="s">
        <v>1116</v>
      </c>
      <c r="AE78" t="s">
        <v>1365</v>
      </c>
      <c r="AF78" t="s">
        <v>1376</v>
      </c>
      <c r="AG78" s="6">
        <v>1.08</v>
      </c>
      <c r="AH78" s="2">
        <v>0.5</v>
      </c>
      <c r="AI78" s="5">
        <v>1.9</v>
      </c>
      <c r="AJ78" s="5">
        <v>1.5</v>
      </c>
      <c r="AK78" s="5" t="s">
        <v>443</v>
      </c>
      <c r="AL78" s="5">
        <v>9.1</v>
      </c>
      <c r="AM78" s="5">
        <v>15.5</v>
      </c>
      <c r="AN78" s="5">
        <v>6.7</v>
      </c>
      <c r="AO78" s="2">
        <v>2.8</v>
      </c>
      <c r="AP78" s="5" t="s">
        <v>443</v>
      </c>
      <c r="AQ78" s="5" t="s">
        <v>443</v>
      </c>
      <c r="AR78" s="2" t="s">
        <v>1370</v>
      </c>
      <c r="AS78" t="s">
        <v>609</v>
      </c>
    </row>
    <row r="79" spans="1:46" x14ac:dyDescent="0.35">
      <c r="A79" t="s">
        <v>913</v>
      </c>
      <c r="B79" t="s">
        <v>975</v>
      </c>
      <c r="C79" t="s">
        <v>1055</v>
      </c>
      <c r="D79" s="2" t="s">
        <v>592</v>
      </c>
      <c r="E79" s="2" t="s">
        <v>1368</v>
      </c>
      <c r="F79" s="2" t="s">
        <v>716</v>
      </c>
      <c r="G79" s="3">
        <v>426</v>
      </c>
      <c r="H79" s="3">
        <v>34</v>
      </c>
      <c r="I79" s="3">
        <v>16</v>
      </c>
      <c r="J79" s="3">
        <v>156</v>
      </c>
      <c r="K79" s="3">
        <v>329</v>
      </c>
      <c r="L79" s="3">
        <v>524</v>
      </c>
      <c r="M79" s="3">
        <v>769</v>
      </c>
      <c r="N79" s="3">
        <v>29</v>
      </c>
      <c r="O79" s="5">
        <v>56.087550456698303</v>
      </c>
      <c r="P79" s="5">
        <v>2.6320734537650399</v>
      </c>
      <c r="Q79" s="5">
        <v>2.4166742290058298</v>
      </c>
      <c r="R79" s="5">
        <v>38.863701860530803</v>
      </c>
      <c r="S79" s="5">
        <v>27.490468793535001</v>
      </c>
      <c r="T79" s="5">
        <v>32.3162670123819</v>
      </c>
      <c r="U79" s="5">
        <v>37.329882588896403</v>
      </c>
      <c r="V79" s="5">
        <v>2.86338160518679</v>
      </c>
      <c r="W79" s="5">
        <v>40.193264194083199</v>
      </c>
      <c r="X79" s="2">
        <v>-1</v>
      </c>
      <c r="Y79" t="s">
        <v>609</v>
      </c>
      <c r="Z79" s="4">
        <v>42541</v>
      </c>
      <c r="AA79" t="s">
        <v>55</v>
      </c>
      <c r="AB79" t="s">
        <v>56</v>
      </c>
      <c r="AC79" t="s">
        <v>609</v>
      </c>
      <c r="AD79" t="s">
        <v>1108</v>
      </c>
      <c r="AE79" t="s">
        <v>1365</v>
      </c>
      <c r="AF79" t="s">
        <v>1376</v>
      </c>
      <c r="AG79" s="6">
        <v>1.3</v>
      </c>
      <c r="AH79" s="2">
        <v>0.5</v>
      </c>
      <c r="AI79" s="5">
        <v>1.9</v>
      </c>
      <c r="AJ79" s="5">
        <v>1.5</v>
      </c>
      <c r="AK79" s="5" t="s">
        <v>443</v>
      </c>
      <c r="AL79" s="5">
        <v>9.6999999999999993</v>
      </c>
      <c r="AM79" s="5">
        <v>20.100000000000001</v>
      </c>
      <c r="AN79" s="5">
        <v>8.6</v>
      </c>
      <c r="AO79" s="2">
        <v>14.5</v>
      </c>
      <c r="AP79" s="5" t="s">
        <v>443</v>
      </c>
      <c r="AQ79" s="5" t="s">
        <v>443</v>
      </c>
      <c r="AR79" s="2" t="s">
        <v>1370</v>
      </c>
      <c r="AS79" t="s">
        <v>609</v>
      </c>
    </row>
    <row r="80" spans="1:46" x14ac:dyDescent="0.35">
      <c r="A80" t="s">
        <v>924</v>
      </c>
      <c r="B80" t="s">
        <v>975</v>
      </c>
      <c r="C80" t="s">
        <v>1056</v>
      </c>
      <c r="D80" s="2" t="s">
        <v>592</v>
      </c>
      <c r="E80" s="2" t="s">
        <v>1368</v>
      </c>
      <c r="F80" s="2" t="s">
        <v>716</v>
      </c>
      <c r="G80" s="3">
        <v>424</v>
      </c>
      <c r="H80" s="3">
        <v>35</v>
      </c>
      <c r="I80" s="3">
        <v>26</v>
      </c>
      <c r="J80" s="3">
        <v>158</v>
      </c>
      <c r="K80" s="3">
        <v>315</v>
      </c>
      <c r="L80" s="3">
        <v>500</v>
      </c>
      <c r="M80" s="3">
        <v>769</v>
      </c>
      <c r="N80" s="3">
        <v>58</v>
      </c>
      <c r="O80" s="5">
        <v>54.824898965630702</v>
      </c>
      <c r="P80" s="5">
        <v>2.66098386772516</v>
      </c>
      <c r="Q80" s="5">
        <v>3.85679526650897</v>
      </c>
      <c r="R80" s="5">
        <v>38.657321900135202</v>
      </c>
      <c r="S80" s="5">
        <v>26.264602428829399</v>
      </c>
      <c r="T80" s="5">
        <v>30.770456166681601</v>
      </c>
      <c r="U80" s="5">
        <v>37.250375367037599</v>
      </c>
      <c r="V80" s="5">
        <v>5.7145660374514398</v>
      </c>
      <c r="W80" s="5">
        <v>42.964941404488997</v>
      </c>
      <c r="X80" s="2">
        <v>0</v>
      </c>
      <c r="Y80" t="s">
        <v>609</v>
      </c>
      <c r="Z80" s="4">
        <v>42541</v>
      </c>
      <c r="AA80" t="s">
        <v>55</v>
      </c>
      <c r="AB80" t="s">
        <v>57</v>
      </c>
      <c r="AC80" t="s">
        <v>609</v>
      </c>
      <c r="AD80" t="s">
        <v>1117</v>
      </c>
      <c r="AE80" t="s">
        <v>1365</v>
      </c>
      <c r="AF80" t="s">
        <v>1376</v>
      </c>
      <c r="AG80" s="6">
        <v>0.8</v>
      </c>
      <c r="AH80" s="2">
        <v>0.5</v>
      </c>
      <c r="AI80" s="5">
        <v>2.1</v>
      </c>
      <c r="AJ80" s="5">
        <v>1.7</v>
      </c>
      <c r="AK80" s="5" t="s">
        <v>443</v>
      </c>
      <c r="AL80" s="5">
        <v>8.6</v>
      </c>
      <c r="AM80" s="5">
        <v>20.7</v>
      </c>
      <c r="AN80" s="5">
        <v>5.61</v>
      </c>
      <c r="AO80" s="2">
        <v>4</v>
      </c>
      <c r="AP80" s="5" t="s">
        <v>443</v>
      </c>
      <c r="AQ80" s="5" t="s">
        <v>443</v>
      </c>
      <c r="AR80" s="2" t="s">
        <v>1370</v>
      </c>
      <c r="AS80" t="s">
        <v>609</v>
      </c>
    </row>
    <row r="81" spans="1:45" x14ac:dyDescent="0.35">
      <c r="A81" t="s">
        <v>914</v>
      </c>
      <c r="B81" t="s">
        <v>975</v>
      </c>
      <c r="C81" t="s">
        <v>1055</v>
      </c>
      <c r="D81" s="2" t="s">
        <v>592</v>
      </c>
      <c r="E81" s="2" t="s">
        <v>1368</v>
      </c>
      <c r="F81" s="2" t="s">
        <v>716</v>
      </c>
      <c r="G81" s="3">
        <v>426</v>
      </c>
      <c r="H81" s="3">
        <v>34</v>
      </c>
      <c r="I81" s="3">
        <v>16</v>
      </c>
      <c r="J81" s="3">
        <v>156</v>
      </c>
      <c r="K81" s="3">
        <v>329</v>
      </c>
      <c r="L81" s="3">
        <v>524</v>
      </c>
      <c r="M81" s="3">
        <v>769</v>
      </c>
      <c r="N81" s="3">
        <v>29</v>
      </c>
      <c r="O81" s="5">
        <v>56.087550456698303</v>
      </c>
      <c r="P81" s="5">
        <v>2.6320734537650399</v>
      </c>
      <c r="Q81" s="5">
        <v>2.4166742290058298</v>
      </c>
      <c r="R81" s="5">
        <v>38.863701860530803</v>
      </c>
      <c r="S81" s="5">
        <v>27.490468793535001</v>
      </c>
      <c r="T81" s="5">
        <v>32.3162670123819</v>
      </c>
      <c r="U81" s="5">
        <v>37.329882588896403</v>
      </c>
      <c r="V81" s="5">
        <v>2.86338160518679</v>
      </c>
      <c r="W81" s="5">
        <v>40.193264194083199</v>
      </c>
      <c r="X81" s="2">
        <v>-1</v>
      </c>
      <c r="Y81" t="s">
        <v>609</v>
      </c>
      <c r="Z81" s="4">
        <v>42569</v>
      </c>
      <c r="AA81" t="s">
        <v>55</v>
      </c>
      <c r="AB81" t="s">
        <v>56</v>
      </c>
      <c r="AC81" t="s">
        <v>1324</v>
      </c>
      <c r="AD81" t="s">
        <v>930</v>
      </c>
      <c r="AE81" t="s">
        <v>1365</v>
      </c>
      <c r="AF81" t="s">
        <v>1376</v>
      </c>
      <c r="AG81" s="6">
        <v>1.3</v>
      </c>
      <c r="AH81" s="2">
        <v>0.5</v>
      </c>
      <c r="AI81" s="5">
        <v>1.9</v>
      </c>
      <c r="AJ81" s="5">
        <v>1.6</v>
      </c>
      <c r="AK81" s="5" t="s">
        <v>443</v>
      </c>
      <c r="AL81" s="5">
        <v>9</v>
      </c>
      <c r="AM81" s="5">
        <v>18.2</v>
      </c>
      <c r="AN81" s="5">
        <v>9.43</v>
      </c>
      <c r="AO81" s="2">
        <v>19</v>
      </c>
      <c r="AP81" s="5" t="s">
        <v>443</v>
      </c>
      <c r="AQ81" s="5" t="s">
        <v>443</v>
      </c>
      <c r="AR81" s="2" t="s">
        <v>1370</v>
      </c>
      <c r="AS81" t="s">
        <v>1324</v>
      </c>
    </row>
    <row r="82" spans="1:45" x14ac:dyDescent="0.35">
      <c r="A82" t="s">
        <v>925</v>
      </c>
      <c r="B82" t="s">
        <v>975</v>
      </c>
      <c r="C82" t="s">
        <v>1056</v>
      </c>
      <c r="D82" s="2" t="s">
        <v>592</v>
      </c>
      <c r="E82" s="2" t="s">
        <v>1368</v>
      </c>
      <c r="F82" s="2" t="s">
        <v>716</v>
      </c>
      <c r="G82" s="3">
        <v>424</v>
      </c>
      <c r="H82" s="3">
        <v>35</v>
      </c>
      <c r="I82" s="3">
        <v>26</v>
      </c>
      <c r="J82" s="3">
        <v>158</v>
      </c>
      <c r="K82" s="3">
        <v>315</v>
      </c>
      <c r="L82" s="3">
        <v>500</v>
      </c>
      <c r="M82" s="3">
        <v>769</v>
      </c>
      <c r="N82" s="3">
        <v>58</v>
      </c>
      <c r="O82" s="5">
        <v>54.824898965630702</v>
      </c>
      <c r="P82" s="5">
        <v>2.66098386772516</v>
      </c>
      <c r="Q82" s="5">
        <v>3.85679526650897</v>
      </c>
      <c r="R82" s="5">
        <v>38.657321900135202</v>
      </c>
      <c r="S82" s="5">
        <v>26.264602428829399</v>
      </c>
      <c r="T82" s="5">
        <v>30.770456166681601</v>
      </c>
      <c r="U82" s="5">
        <v>37.250375367037599</v>
      </c>
      <c r="V82" s="5">
        <v>5.7145660374514398</v>
      </c>
      <c r="W82" s="5">
        <v>42.964941404488997</v>
      </c>
      <c r="X82" s="2">
        <v>0</v>
      </c>
      <c r="Y82" t="s">
        <v>609</v>
      </c>
      <c r="Z82" s="4">
        <v>42569</v>
      </c>
      <c r="AA82" t="s">
        <v>55</v>
      </c>
      <c r="AB82" t="s">
        <v>57</v>
      </c>
      <c r="AC82" t="s">
        <v>1324</v>
      </c>
      <c r="AD82" t="s">
        <v>932</v>
      </c>
      <c r="AE82" t="s">
        <v>1365</v>
      </c>
      <c r="AF82" t="s">
        <v>1376</v>
      </c>
      <c r="AG82" s="6">
        <v>0.8</v>
      </c>
      <c r="AH82" s="2">
        <v>0.5</v>
      </c>
      <c r="AI82" s="5">
        <v>2.4</v>
      </c>
      <c r="AJ82" s="5">
        <v>1.9</v>
      </c>
      <c r="AK82" s="5" t="s">
        <v>443</v>
      </c>
      <c r="AL82" s="5">
        <v>8.4</v>
      </c>
      <c r="AM82" s="5">
        <v>20.2</v>
      </c>
      <c r="AN82" s="5">
        <v>5.31</v>
      </c>
      <c r="AO82" s="2">
        <v>4.5999999999999996</v>
      </c>
      <c r="AP82" s="5" t="s">
        <v>443</v>
      </c>
      <c r="AQ82" s="5" t="s">
        <v>443</v>
      </c>
      <c r="AR82" s="2" t="s">
        <v>1370</v>
      </c>
      <c r="AS82" t="s">
        <v>1324</v>
      </c>
    </row>
    <row r="83" spans="1:45" x14ac:dyDescent="0.35">
      <c r="A83" t="s">
        <v>915</v>
      </c>
      <c r="B83" t="s">
        <v>975</v>
      </c>
      <c r="C83" t="s">
        <v>1055</v>
      </c>
      <c r="D83" s="2" t="s">
        <v>592</v>
      </c>
      <c r="E83" s="2" t="s">
        <v>1368</v>
      </c>
      <c r="F83" s="2" t="s">
        <v>716</v>
      </c>
      <c r="G83" s="3">
        <v>426</v>
      </c>
      <c r="H83" s="3">
        <v>34</v>
      </c>
      <c r="I83" s="3">
        <v>16</v>
      </c>
      <c r="J83" s="3">
        <v>156</v>
      </c>
      <c r="K83" s="3">
        <v>329</v>
      </c>
      <c r="L83" s="3">
        <v>524</v>
      </c>
      <c r="M83" s="3">
        <v>769</v>
      </c>
      <c r="N83" s="3">
        <v>29</v>
      </c>
      <c r="O83" s="5">
        <v>56.087550456698303</v>
      </c>
      <c r="P83" s="5">
        <v>2.6320734537650399</v>
      </c>
      <c r="Q83" s="5">
        <v>2.4166742290058298</v>
      </c>
      <c r="R83" s="5">
        <v>38.863701860530803</v>
      </c>
      <c r="S83" s="5">
        <v>27.490468793535001</v>
      </c>
      <c r="T83" s="5">
        <v>32.3162670123819</v>
      </c>
      <c r="U83" s="5">
        <v>37.329882588896403</v>
      </c>
      <c r="V83" s="5">
        <v>2.86338160518679</v>
      </c>
      <c r="W83" s="5">
        <v>40.193264194083199</v>
      </c>
      <c r="X83" s="2">
        <v>-1</v>
      </c>
      <c r="Y83" t="s">
        <v>609</v>
      </c>
      <c r="Z83" s="4">
        <v>42602</v>
      </c>
      <c r="AA83" t="s">
        <v>55</v>
      </c>
      <c r="AB83" t="s">
        <v>56</v>
      </c>
      <c r="AC83" t="s">
        <v>609</v>
      </c>
      <c r="AD83" t="s">
        <v>1109</v>
      </c>
      <c r="AE83" t="s">
        <v>1365</v>
      </c>
      <c r="AF83" t="s">
        <v>1376</v>
      </c>
      <c r="AG83" s="6">
        <v>0.8</v>
      </c>
      <c r="AH83" s="2">
        <v>0.5</v>
      </c>
      <c r="AI83" s="5">
        <v>1.9</v>
      </c>
      <c r="AJ83" s="5">
        <v>1.5</v>
      </c>
      <c r="AK83" s="5" t="s">
        <v>443</v>
      </c>
      <c r="AL83" s="5">
        <v>8.8000000000000007</v>
      </c>
      <c r="AM83" s="5">
        <v>22.7</v>
      </c>
      <c r="AN83" s="5">
        <v>8.1300000000000008</v>
      </c>
      <c r="AO83" s="2">
        <v>13.2</v>
      </c>
      <c r="AP83" s="5" t="s">
        <v>443</v>
      </c>
      <c r="AQ83" s="5" t="s">
        <v>443</v>
      </c>
      <c r="AR83" s="2" t="s">
        <v>1370</v>
      </c>
      <c r="AS83" t="s">
        <v>609</v>
      </c>
    </row>
    <row r="84" spans="1:45" x14ac:dyDescent="0.35">
      <c r="A84" t="s">
        <v>926</v>
      </c>
      <c r="B84" t="s">
        <v>975</v>
      </c>
      <c r="C84" t="s">
        <v>1056</v>
      </c>
      <c r="D84" s="2" t="s">
        <v>592</v>
      </c>
      <c r="E84" s="2" t="s">
        <v>1368</v>
      </c>
      <c r="F84" s="2" t="s">
        <v>716</v>
      </c>
      <c r="G84" s="3">
        <v>424</v>
      </c>
      <c r="H84" s="3">
        <v>35</v>
      </c>
      <c r="I84" s="3">
        <v>26</v>
      </c>
      <c r="J84" s="3">
        <v>158</v>
      </c>
      <c r="K84" s="3">
        <v>315</v>
      </c>
      <c r="L84" s="3">
        <v>500</v>
      </c>
      <c r="M84" s="3">
        <v>769</v>
      </c>
      <c r="N84" s="3">
        <v>58</v>
      </c>
      <c r="O84" s="5">
        <v>54.824898965630702</v>
      </c>
      <c r="P84" s="5">
        <v>2.66098386772516</v>
      </c>
      <c r="Q84" s="5">
        <v>3.85679526650897</v>
      </c>
      <c r="R84" s="5">
        <v>38.657321900135202</v>
      </c>
      <c r="S84" s="5">
        <v>26.264602428829399</v>
      </c>
      <c r="T84" s="5">
        <v>30.770456166681601</v>
      </c>
      <c r="U84" s="5">
        <v>37.250375367037599</v>
      </c>
      <c r="V84" s="5">
        <v>5.7145660374514398</v>
      </c>
      <c r="W84" s="5">
        <v>42.964941404488997</v>
      </c>
      <c r="X84" s="2">
        <v>0</v>
      </c>
      <c r="Y84" t="s">
        <v>609</v>
      </c>
      <c r="Z84" s="4">
        <v>42602</v>
      </c>
      <c r="AA84" t="s">
        <v>55</v>
      </c>
      <c r="AB84" t="s">
        <v>57</v>
      </c>
      <c r="AC84" t="s">
        <v>609</v>
      </c>
      <c r="AD84" t="s">
        <v>1118</v>
      </c>
      <c r="AE84" t="s">
        <v>1365</v>
      </c>
      <c r="AF84" t="s">
        <v>1376</v>
      </c>
      <c r="AG84" s="6">
        <v>0.65</v>
      </c>
      <c r="AH84" s="2">
        <v>0.5</v>
      </c>
      <c r="AI84" s="5">
        <v>2.5</v>
      </c>
      <c r="AJ84" s="5">
        <v>2</v>
      </c>
      <c r="AK84" s="5" t="s">
        <v>443</v>
      </c>
      <c r="AL84" s="5">
        <v>8.6</v>
      </c>
      <c r="AM84" s="5">
        <v>23.4</v>
      </c>
      <c r="AN84" s="5">
        <v>7.27</v>
      </c>
      <c r="AO84" s="2">
        <v>2.7</v>
      </c>
      <c r="AP84" s="5" t="s">
        <v>443</v>
      </c>
      <c r="AQ84" s="5" t="s">
        <v>443</v>
      </c>
      <c r="AR84" s="2" t="s">
        <v>1370</v>
      </c>
      <c r="AS84" t="s">
        <v>609</v>
      </c>
    </row>
    <row r="85" spans="1:45" x14ac:dyDescent="0.35">
      <c r="A85" t="s">
        <v>916</v>
      </c>
      <c r="B85" t="s">
        <v>975</v>
      </c>
      <c r="C85" t="s">
        <v>1055</v>
      </c>
      <c r="D85" s="2" t="s">
        <v>592</v>
      </c>
      <c r="E85" s="2" t="s">
        <v>1368</v>
      </c>
      <c r="F85" s="2" t="s">
        <v>716</v>
      </c>
      <c r="G85" s="3">
        <v>426</v>
      </c>
      <c r="H85" s="3">
        <v>34</v>
      </c>
      <c r="I85" s="3">
        <v>16</v>
      </c>
      <c r="J85" s="3">
        <v>156</v>
      </c>
      <c r="K85" s="3">
        <v>329</v>
      </c>
      <c r="L85" s="3">
        <v>524</v>
      </c>
      <c r="M85" s="3">
        <v>769</v>
      </c>
      <c r="N85" s="3">
        <v>29</v>
      </c>
      <c r="O85" s="5">
        <v>56.087550456698303</v>
      </c>
      <c r="P85" s="5">
        <v>2.6320734537650399</v>
      </c>
      <c r="Q85" s="5">
        <v>2.4166742290058298</v>
      </c>
      <c r="R85" s="5">
        <v>38.863701860530803</v>
      </c>
      <c r="S85" s="5">
        <v>27.490468793535001</v>
      </c>
      <c r="T85" s="5">
        <v>32.3162670123819</v>
      </c>
      <c r="U85" s="5">
        <v>37.329882588896403</v>
      </c>
      <c r="V85" s="5">
        <v>2.86338160518679</v>
      </c>
      <c r="W85" s="5">
        <v>40.193264194083199</v>
      </c>
      <c r="X85" s="2">
        <v>-1</v>
      </c>
      <c r="Y85" t="s">
        <v>609</v>
      </c>
      <c r="Z85" s="4">
        <v>42634</v>
      </c>
      <c r="AA85" t="s">
        <v>55</v>
      </c>
      <c r="AB85" t="s">
        <v>56</v>
      </c>
      <c r="AC85" t="s">
        <v>609</v>
      </c>
      <c r="AD85" t="s">
        <v>1110</v>
      </c>
      <c r="AE85" t="s">
        <v>1365</v>
      </c>
      <c r="AF85" t="s">
        <v>1376</v>
      </c>
      <c r="AG85" s="6">
        <v>1.3</v>
      </c>
      <c r="AH85" s="2">
        <v>0.5</v>
      </c>
      <c r="AI85" s="5">
        <v>2</v>
      </c>
      <c r="AJ85" s="5">
        <v>1.6</v>
      </c>
      <c r="AK85" s="5" t="s">
        <v>443</v>
      </c>
      <c r="AL85" s="5">
        <v>9</v>
      </c>
      <c r="AM85" s="5">
        <v>15.6</v>
      </c>
      <c r="AN85" s="5">
        <v>9.43</v>
      </c>
      <c r="AO85" s="2">
        <v>14.1</v>
      </c>
      <c r="AP85" s="5" t="s">
        <v>443</v>
      </c>
      <c r="AQ85" s="5" t="s">
        <v>443</v>
      </c>
      <c r="AR85" s="2" t="s">
        <v>1370</v>
      </c>
      <c r="AS85" t="s">
        <v>609</v>
      </c>
    </row>
    <row r="86" spans="1:45" x14ac:dyDescent="0.35">
      <c r="A86" t="s">
        <v>927</v>
      </c>
      <c r="B86" t="s">
        <v>975</v>
      </c>
      <c r="C86" t="s">
        <v>1056</v>
      </c>
      <c r="D86" s="2" t="s">
        <v>592</v>
      </c>
      <c r="E86" s="2" t="s">
        <v>1368</v>
      </c>
      <c r="F86" s="2" t="s">
        <v>716</v>
      </c>
      <c r="G86" s="3">
        <v>424</v>
      </c>
      <c r="H86" s="3">
        <v>35</v>
      </c>
      <c r="I86" s="3">
        <v>26</v>
      </c>
      <c r="J86" s="3">
        <v>158</v>
      </c>
      <c r="K86" s="3">
        <v>315</v>
      </c>
      <c r="L86" s="3">
        <v>500</v>
      </c>
      <c r="M86" s="3">
        <v>769</v>
      </c>
      <c r="N86" s="3">
        <v>58</v>
      </c>
      <c r="O86" s="5">
        <v>54.824898965630702</v>
      </c>
      <c r="P86" s="5">
        <v>2.66098386772516</v>
      </c>
      <c r="Q86" s="5">
        <v>3.85679526650897</v>
      </c>
      <c r="R86" s="5">
        <v>38.657321900135202</v>
      </c>
      <c r="S86" s="5">
        <v>26.264602428829399</v>
      </c>
      <c r="T86" s="5">
        <v>30.770456166681601</v>
      </c>
      <c r="U86" s="5">
        <v>37.250375367037599</v>
      </c>
      <c r="V86" s="5">
        <v>5.7145660374514398</v>
      </c>
      <c r="W86" s="5">
        <v>42.964941404488997</v>
      </c>
      <c r="X86" s="2">
        <v>0</v>
      </c>
      <c r="Y86" t="s">
        <v>609</v>
      </c>
      <c r="Z86" s="4">
        <v>42634</v>
      </c>
      <c r="AA86" t="s">
        <v>55</v>
      </c>
      <c r="AB86" t="s">
        <v>57</v>
      </c>
      <c r="AC86" t="s">
        <v>609</v>
      </c>
      <c r="AD86" t="s">
        <v>1119</v>
      </c>
      <c r="AE86" t="s">
        <v>1365</v>
      </c>
      <c r="AF86" t="s">
        <v>1376</v>
      </c>
      <c r="AG86" s="6">
        <v>0.9</v>
      </c>
      <c r="AH86" s="2">
        <v>0.5</v>
      </c>
      <c r="AI86" s="5">
        <v>2.2000000000000002</v>
      </c>
      <c r="AJ86" s="5">
        <v>1.8</v>
      </c>
      <c r="AK86" s="5" t="s">
        <v>443</v>
      </c>
      <c r="AL86" s="5">
        <v>8.6999999999999993</v>
      </c>
      <c r="AM86" s="5">
        <v>16</v>
      </c>
      <c r="AN86" s="5">
        <v>5.35</v>
      </c>
      <c r="AO86" s="2">
        <v>8.3000000000000007</v>
      </c>
      <c r="AP86" s="5" t="s">
        <v>443</v>
      </c>
      <c r="AQ86" s="5" t="s">
        <v>443</v>
      </c>
      <c r="AR86" s="2" t="s">
        <v>1370</v>
      </c>
      <c r="AS86" t="s">
        <v>609</v>
      </c>
    </row>
    <row r="87" spans="1:45" x14ac:dyDescent="0.35">
      <c r="A87" t="s">
        <v>917</v>
      </c>
      <c r="B87" t="s">
        <v>975</v>
      </c>
      <c r="C87" t="s">
        <v>1055</v>
      </c>
      <c r="D87" s="2" t="s">
        <v>592</v>
      </c>
      <c r="E87" s="2" t="s">
        <v>1368</v>
      </c>
      <c r="F87" s="2" t="s">
        <v>716</v>
      </c>
      <c r="G87" s="3">
        <v>426</v>
      </c>
      <c r="H87" s="3">
        <v>34</v>
      </c>
      <c r="I87" s="3">
        <v>16</v>
      </c>
      <c r="J87" s="3">
        <v>156</v>
      </c>
      <c r="K87" s="3">
        <v>329</v>
      </c>
      <c r="L87" s="3">
        <v>524</v>
      </c>
      <c r="M87" s="3">
        <v>769</v>
      </c>
      <c r="N87" s="3">
        <v>29</v>
      </c>
      <c r="O87" s="5">
        <v>56.087550456698303</v>
      </c>
      <c r="P87" s="5">
        <v>2.6320734537650399</v>
      </c>
      <c r="Q87" s="5">
        <v>2.4166742290058298</v>
      </c>
      <c r="R87" s="5">
        <v>38.863701860530803</v>
      </c>
      <c r="S87" s="5">
        <v>27.490468793535001</v>
      </c>
      <c r="T87" s="5">
        <v>32.3162670123819</v>
      </c>
      <c r="U87" s="5">
        <v>37.329882588896403</v>
      </c>
      <c r="V87" s="5">
        <v>2.86338160518679</v>
      </c>
      <c r="W87" s="5">
        <v>40.193264194083199</v>
      </c>
      <c r="X87" s="2">
        <v>-1</v>
      </c>
      <c r="Y87" t="s">
        <v>609</v>
      </c>
      <c r="Z87" s="4">
        <v>42668</v>
      </c>
      <c r="AA87" t="s">
        <v>55</v>
      </c>
      <c r="AB87" t="s">
        <v>56</v>
      </c>
      <c r="AC87" t="s">
        <v>609</v>
      </c>
      <c r="AD87" t="s">
        <v>1111</v>
      </c>
      <c r="AE87" t="s">
        <v>1365</v>
      </c>
      <c r="AF87" t="s">
        <v>1376</v>
      </c>
      <c r="AG87" s="6">
        <v>1.2</v>
      </c>
      <c r="AH87" s="2">
        <v>0.5</v>
      </c>
      <c r="AI87" s="5">
        <v>1.9</v>
      </c>
      <c r="AJ87" s="5">
        <v>1.5</v>
      </c>
      <c r="AK87" s="5" t="s">
        <v>443</v>
      </c>
      <c r="AL87" s="5">
        <v>9</v>
      </c>
      <c r="AM87" s="5">
        <v>9.8000000000000007</v>
      </c>
      <c r="AN87" s="5">
        <v>10.73</v>
      </c>
      <c r="AO87" s="2">
        <v>4.7</v>
      </c>
      <c r="AP87" s="5" t="s">
        <v>443</v>
      </c>
      <c r="AQ87" s="5" t="s">
        <v>443</v>
      </c>
      <c r="AR87" s="2" t="s">
        <v>1370</v>
      </c>
      <c r="AS87" t="s">
        <v>609</v>
      </c>
    </row>
    <row r="88" spans="1:45" x14ac:dyDescent="0.35">
      <c r="A88" t="s">
        <v>928</v>
      </c>
      <c r="B88" t="s">
        <v>975</v>
      </c>
      <c r="C88" t="s">
        <v>1056</v>
      </c>
      <c r="D88" s="2" t="s">
        <v>592</v>
      </c>
      <c r="E88" s="2" t="s">
        <v>1368</v>
      </c>
      <c r="F88" s="2" t="s">
        <v>716</v>
      </c>
      <c r="G88" s="3">
        <v>424</v>
      </c>
      <c r="H88" s="3">
        <v>35</v>
      </c>
      <c r="I88" s="3">
        <v>26</v>
      </c>
      <c r="J88" s="3">
        <v>158</v>
      </c>
      <c r="K88" s="3">
        <v>315</v>
      </c>
      <c r="L88" s="3">
        <v>500</v>
      </c>
      <c r="M88" s="3">
        <v>769</v>
      </c>
      <c r="N88" s="3">
        <v>58</v>
      </c>
      <c r="O88" s="5">
        <v>54.824898965630702</v>
      </c>
      <c r="P88" s="5">
        <v>2.66098386772516</v>
      </c>
      <c r="Q88" s="5">
        <v>3.85679526650897</v>
      </c>
      <c r="R88" s="5">
        <v>38.657321900135202</v>
      </c>
      <c r="S88" s="5">
        <v>26.264602428829399</v>
      </c>
      <c r="T88" s="5">
        <v>30.770456166681601</v>
      </c>
      <c r="U88" s="5">
        <v>37.250375367037599</v>
      </c>
      <c r="V88" s="5">
        <v>5.7145660374514398</v>
      </c>
      <c r="W88" s="5">
        <v>42.964941404488997</v>
      </c>
      <c r="X88" s="2">
        <v>0</v>
      </c>
      <c r="Y88" t="s">
        <v>609</v>
      </c>
      <c r="Z88" s="4">
        <v>42668</v>
      </c>
      <c r="AA88" t="s">
        <v>55</v>
      </c>
      <c r="AB88" t="s">
        <v>57</v>
      </c>
      <c r="AC88" t="s">
        <v>609</v>
      </c>
      <c r="AD88" t="s">
        <v>1120</v>
      </c>
      <c r="AE88" t="s">
        <v>1365</v>
      </c>
      <c r="AF88" t="s">
        <v>1376</v>
      </c>
      <c r="AG88" s="6">
        <v>0.85</v>
      </c>
      <c r="AH88" s="2">
        <v>0.5</v>
      </c>
      <c r="AI88" s="5">
        <v>2.2999999999999998</v>
      </c>
      <c r="AJ88" s="5">
        <v>1.8</v>
      </c>
      <c r="AK88" s="5" t="s">
        <v>443</v>
      </c>
      <c r="AL88" s="5">
        <v>8.4</v>
      </c>
      <c r="AM88" s="5">
        <v>10.1</v>
      </c>
      <c r="AN88" s="5">
        <v>4.2</v>
      </c>
      <c r="AO88" s="2">
        <v>3.8</v>
      </c>
      <c r="AP88" s="5" t="s">
        <v>443</v>
      </c>
      <c r="AQ88" s="5" t="s">
        <v>443</v>
      </c>
      <c r="AR88" s="2" t="s">
        <v>1370</v>
      </c>
      <c r="AS88" t="s">
        <v>609</v>
      </c>
    </row>
    <row r="89" spans="1:45" x14ac:dyDescent="0.35">
      <c r="A89" t="s">
        <v>197</v>
      </c>
      <c r="B89" t="s">
        <v>944</v>
      </c>
      <c r="C89" t="s">
        <v>972</v>
      </c>
      <c r="D89" s="2" t="s">
        <v>592</v>
      </c>
      <c r="E89" s="2" t="s">
        <v>1368</v>
      </c>
      <c r="F89" s="2" t="s">
        <v>716</v>
      </c>
      <c r="G89" s="3">
        <v>773</v>
      </c>
      <c r="H89" s="3">
        <v>54</v>
      </c>
      <c r="I89" s="3">
        <v>13</v>
      </c>
      <c r="J89" s="3">
        <v>102</v>
      </c>
      <c r="K89" s="3">
        <v>361</v>
      </c>
      <c r="L89" s="3">
        <v>145</v>
      </c>
      <c r="M89" s="3">
        <v>1370</v>
      </c>
      <c r="N89" s="3">
        <v>85</v>
      </c>
      <c r="O89" s="5">
        <v>76.3</v>
      </c>
      <c r="P89" s="5">
        <v>3.1</v>
      </c>
      <c r="Q89" s="5">
        <v>1.5</v>
      </c>
      <c r="R89" s="5">
        <v>19.100000000000001</v>
      </c>
      <c r="S89" s="5">
        <v>26.5</v>
      </c>
      <c r="T89" s="5">
        <v>7.8</v>
      </c>
      <c r="U89" s="5">
        <v>58.3</v>
      </c>
      <c r="V89" s="5">
        <v>7.4</v>
      </c>
      <c r="W89" s="5">
        <f t="shared" ref="W89:W120" si="3">SUM(U89:V89)</f>
        <v>65.7</v>
      </c>
      <c r="X89" s="3">
        <v>6.7375430359348023</v>
      </c>
      <c r="Y89" t="s">
        <v>616</v>
      </c>
      <c r="Z89" s="4" t="s">
        <v>198</v>
      </c>
      <c r="AA89" t="s">
        <v>183</v>
      </c>
      <c r="AB89" t="s">
        <v>199</v>
      </c>
      <c r="AC89" t="s">
        <v>1333</v>
      </c>
      <c r="AD89" t="s">
        <v>835</v>
      </c>
      <c r="AE89" t="s">
        <v>1365</v>
      </c>
      <c r="AF89" t="s">
        <v>1378</v>
      </c>
      <c r="AG89" s="6">
        <v>0.04</v>
      </c>
      <c r="AH89" s="2">
        <v>0.02</v>
      </c>
      <c r="AI89" s="5">
        <v>6.7</v>
      </c>
      <c r="AJ89" s="5">
        <v>5.4</v>
      </c>
      <c r="AK89" s="5" t="s">
        <v>443</v>
      </c>
      <c r="AL89" s="5">
        <v>9.4</v>
      </c>
      <c r="AM89" s="5">
        <v>14.5</v>
      </c>
      <c r="AN89" s="5">
        <v>9.9</v>
      </c>
      <c r="AO89" s="2">
        <v>111.6</v>
      </c>
      <c r="AP89" s="5" t="s">
        <v>443</v>
      </c>
      <c r="AQ89" s="5" t="s">
        <v>443</v>
      </c>
      <c r="AR89" s="2" t="s">
        <v>1370</v>
      </c>
      <c r="AS89" t="s">
        <v>1333</v>
      </c>
    </row>
    <row r="90" spans="1:45" x14ac:dyDescent="0.35">
      <c r="A90" t="s">
        <v>200</v>
      </c>
      <c r="B90" t="s">
        <v>945</v>
      </c>
      <c r="C90" t="s">
        <v>972</v>
      </c>
      <c r="D90" s="2" t="s">
        <v>592</v>
      </c>
      <c r="E90" s="2" t="s">
        <v>1368</v>
      </c>
      <c r="F90" s="2" t="s">
        <v>716</v>
      </c>
      <c r="G90" s="3">
        <v>538</v>
      </c>
      <c r="H90" s="3">
        <v>4</v>
      </c>
      <c r="I90" s="3">
        <v>8</v>
      </c>
      <c r="J90" s="3">
        <v>8</v>
      </c>
      <c r="K90" s="3">
        <v>59</v>
      </c>
      <c r="L90" s="3">
        <v>135</v>
      </c>
      <c r="M90" s="3">
        <v>1193</v>
      </c>
      <c r="N90" s="3">
        <v>91</v>
      </c>
      <c r="O90" s="5">
        <v>95.3</v>
      </c>
      <c r="P90" s="5">
        <v>0.4</v>
      </c>
      <c r="Q90" s="5">
        <v>1.6</v>
      </c>
      <c r="R90" s="5">
        <v>2.7</v>
      </c>
      <c r="S90" s="5">
        <v>6.2</v>
      </c>
      <c r="T90" s="5">
        <v>10.4</v>
      </c>
      <c r="U90" s="5">
        <v>72.3</v>
      </c>
      <c r="V90" s="5">
        <v>11.2</v>
      </c>
      <c r="W90" s="5">
        <f t="shared" si="3"/>
        <v>83.5</v>
      </c>
      <c r="X90" s="3">
        <v>-4.8390222826805482</v>
      </c>
      <c r="Y90" t="s">
        <v>616</v>
      </c>
      <c r="Z90" s="4" t="s">
        <v>198</v>
      </c>
      <c r="AA90" t="s">
        <v>183</v>
      </c>
      <c r="AB90" t="s">
        <v>201</v>
      </c>
      <c r="AC90" t="s">
        <v>1333</v>
      </c>
      <c r="AD90" t="s">
        <v>834</v>
      </c>
      <c r="AE90" t="s">
        <v>1365</v>
      </c>
      <c r="AF90" t="s">
        <v>1378</v>
      </c>
      <c r="AG90" s="6">
        <v>0.08</v>
      </c>
      <c r="AH90" s="2">
        <v>0.02</v>
      </c>
      <c r="AI90" s="5">
        <v>2.1</v>
      </c>
      <c r="AJ90" s="5">
        <v>1.7</v>
      </c>
      <c r="AK90" s="5" t="s">
        <v>443</v>
      </c>
      <c r="AL90" s="5">
        <v>8.6999999999999993</v>
      </c>
      <c r="AM90" s="5">
        <v>13.1</v>
      </c>
      <c r="AN90" s="5">
        <v>10.38</v>
      </c>
      <c r="AO90" s="2">
        <v>174</v>
      </c>
      <c r="AP90" s="5" t="s">
        <v>443</v>
      </c>
      <c r="AQ90" s="5" t="s">
        <v>443</v>
      </c>
      <c r="AR90" s="2" t="s">
        <v>1370</v>
      </c>
      <c r="AS90" t="s">
        <v>1333</v>
      </c>
    </row>
    <row r="91" spans="1:45" x14ac:dyDescent="0.35">
      <c r="A91" t="s">
        <v>202</v>
      </c>
      <c r="B91" t="s">
        <v>262</v>
      </c>
      <c r="C91" t="s">
        <v>972</v>
      </c>
      <c r="D91" s="2" t="s">
        <v>592</v>
      </c>
      <c r="E91" s="2" t="s">
        <v>1368</v>
      </c>
      <c r="F91" s="2" t="s">
        <v>716</v>
      </c>
      <c r="G91" s="3">
        <v>251</v>
      </c>
      <c r="H91" s="3">
        <v>16</v>
      </c>
      <c r="I91" s="3">
        <v>124</v>
      </c>
      <c r="J91" s="3">
        <v>50</v>
      </c>
      <c r="K91" s="3">
        <v>23</v>
      </c>
      <c r="L91" s="3">
        <v>110</v>
      </c>
      <c r="M91" s="3">
        <v>1052</v>
      </c>
      <c r="N91" s="3">
        <v>20</v>
      </c>
      <c r="O91" s="5">
        <v>50.5</v>
      </c>
      <c r="P91" s="5">
        <v>1.9</v>
      </c>
      <c r="Q91" s="5">
        <v>28.6</v>
      </c>
      <c r="R91" s="5">
        <v>19</v>
      </c>
      <c r="S91" s="5">
        <v>3.1</v>
      </c>
      <c r="T91" s="5">
        <v>11</v>
      </c>
      <c r="U91" s="5">
        <v>82.7</v>
      </c>
      <c r="V91" s="5">
        <v>3.2</v>
      </c>
      <c r="W91" s="5">
        <f t="shared" si="3"/>
        <v>85.9</v>
      </c>
      <c r="X91" s="3">
        <v>1.8455130108267497</v>
      </c>
      <c r="Y91" t="s">
        <v>616</v>
      </c>
      <c r="Z91" s="4" t="s">
        <v>198</v>
      </c>
      <c r="AA91" t="s">
        <v>183</v>
      </c>
      <c r="AB91" t="s">
        <v>203</v>
      </c>
      <c r="AC91" t="s">
        <v>1333</v>
      </c>
      <c r="AD91" t="s">
        <v>833</v>
      </c>
      <c r="AE91" t="s">
        <v>1365</v>
      </c>
      <c r="AF91" t="s">
        <v>1378</v>
      </c>
      <c r="AG91" s="6">
        <v>0.05</v>
      </c>
      <c r="AH91" s="2">
        <v>0.02</v>
      </c>
      <c r="AI91" s="5">
        <v>2.2000000000000002</v>
      </c>
      <c r="AJ91" s="5">
        <v>1.8</v>
      </c>
      <c r="AK91" s="5" t="s">
        <v>443</v>
      </c>
      <c r="AL91" s="5">
        <v>8.8000000000000007</v>
      </c>
      <c r="AM91" s="5">
        <v>12.1</v>
      </c>
      <c r="AN91" s="5">
        <v>10.58</v>
      </c>
      <c r="AO91" s="2">
        <v>318.2</v>
      </c>
      <c r="AP91" s="5" t="s">
        <v>443</v>
      </c>
      <c r="AQ91" s="5" t="s">
        <v>443</v>
      </c>
      <c r="AR91" s="2" t="s">
        <v>1370</v>
      </c>
      <c r="AS91" t="s">
        <v>1333</v>
      </c>
    </row>
    <row r="92" spans="1:45" x14ac:dyDescent="0.35">
      <c r="A92" t="s">
        <v>204</v>
      </c>
      <c r="B92" t="s">
        <v>798</v>
      </c>
      <c r="C92" t="s">
        <v>1065</v>
      </c>
      <c r="D92" s="2" t="s">
        <v>592</v>
      </c>
      <c r="E92" s="2" t="s">
        <v>1368</v>
      </c>
      <c r="F92" s="2" t="s">
        <v>718</v>
      </c>
      <c r="G92" s="3">
        <v>1766</v>
      </c>
      <c r="H92" s="3">
        <v>93</v>
      </c>
      <c r="I92" s="3">
        <v>0</v>
      </c>
      <c r="J92" s="3">
        <v>550</v>
      </c>
      <c r="K92" s="3">
        <v>1305</v>
      </c>
      <c r="L92" s="3">
        <v>2067</v>
      </c>
      <c r="M92" s="3">
        <v>1893</v>
      </c>
      <c r="N92" s="3">
        <v>291</v>
      </c>
      <c r="O92" s="5">
        <v>61.7</v>
      </c>
      <c r="P92" s="5">
        <v>1.9</v>
      </c>
      <c r="Q92" s="5">
        <v>0</v>
      </c>
      <c r="R92" s="5">
        <v>36.4</v>
      </c>
      <c r="S92" s="5">
        <v>30.5</v>
      </c>
      <c r="T92" s="5">
        <v>35.700000000000003</v>
      </c>
      <c r="U92" s="5">
        <v>25.7</v>
      </c>
      <c r="V92" s="5">
        <v>8</v>
      </c>
      <c r="W92" s="5">
        <f t="shared" si="3"/>
        <v>33.700000000000003</v>
      </c>
      <c r="X92" s="3">
        <v>1.5881080615412875</v>
      </c>
      <c r="Y92" t="s">
        <v>609</v>
      </c>
      <c r="Z92" s="4" t="s">
        <v>198</v>
      </c>
      <c r="AA92" t="s">
        <v>205</v>
      </c>
      <c r="AB92" t="s">
        <v>206</v>
      </c>
      <c r="AC92" t="s">
        <v>1333</v>
      </c>
      <c r="AD92" t="s">
        <v>832</v>
      </c>
      <c r="AE92" t="s">
        <v>1365</v>
      </c>
      <c r="AF92" t="s">
        <v>1378</v>
      </c>
      <c r="AG92" s="6">
        <v>0.3</v>
      </c>
      <c r="AH92" s="2">
        <v>0.02</v>
      </c>
      <c r="AI92" s="5">
        <v>2.6</v>
      </c>
      <c r="AJ92" s="5">
        <v>2</v>
      </c>
      <c r="AK92" s="5" t="s">
        <v>443</v>
      </c>
      <c r="AL92" s="5">
        <v>9.1</v>
      </c>
      <c r="AM92" s="5">
        <v>15.6</v>
      </c>
      <c r="AN92" s="5">
        <v>20.11</v>
      </c>
      <c r="AO92" s="2">
        <v>108.7</v>
      </c>
      <c r="AP92" s="5" t="s">
        <v>443</v>
      </c>
      <c r="AQ92" s="5" t="s">
        <v>443</v>
      </c>
      <c r="AR92" s="2" t="s">
        <v>1370</v>
      </c>
      <c r="AS92" t="s">
        <v>1333</v>
      </c>
    </row>
    <row r="93" spans="1:45" x14ac:dyDescent="0.35">
      <c r="A93" t="s">
        <v>207</v>
      </c>
      <c r="B93" t="s">
        <v>265</v>
      </c>
      <c r="C93" t="s">
        <v>972</v>
      </c>
      <c r="D93" s="2" t="s">
        <v>592</v>
      </c>
      <c r="E93" s="2" t="s">
        <v>1368</v>
      </c>
      <c r="F93" s="2" t="s">
        <v>716</v>
      </c>
      <c r="G93" s="3">
        <v>1320</v>
      </c>
      <c r="H93" s="3">
        <v>13</v>
      </c>
      <c r="I93" s="3">
        <v>12</v>
      </c>
      <c r="J93" s="3">
        <v>62</v>
      </c>
      <c r="K93" s="3">
        <v>287</v>
      </c>
      <c r="L93" s="3">
        <v>393</v>
      </c>
      <c r="M93" s="3">
        <v>2286</v>
      </c>
      <c r="N93" s="3">
        <v>140</v>
      </c>
      <c r="O93" s="5">
        <v>90.5</v>
      </c>
      <c r="P93" s="5">
        <v>0.5</v>
      </c>
      <c r="Q93" s="5">
        <v>0.9</v>
      </c>
      <c r="R93" s="5">
        <v>8</v>
      </c>
      <c r="S93" s="5">
        <v>13.9</v>
      </c>
      <c r="T93" s="5">
        <v>14</v>
      </c>
      <c r="U93" s="5">
        <v>64.099999999999994</v>
      </c>
      <c r="V93" s="5">
        <v>8</v>
      </c>
      <c r="W93" s="5">
        <f t="shared" si="3"/>
        <v>72.099999999999994</v>
      </c>
      <c r="X93" s="3">
        <v>4.137866207023885</v>
      </c>
      <c r="Y93" t="s">
        <v>616</v>
      </c>
      <c r="Z93" s="4" t="s">
        <v>198</v>
      </c>
      <c r="AA93" t="s">
        <v>183</v>
      </c>
      <c r="AB93" t="s">
        <v>208</v>
      </c>
      <c r="AC93" t="s">
        <v>1333</v>
      </c>
      <c r="AD93" t="s">
        <v>831</v>
      </c>
      <c r="AE93" t="s">
        <v>1365</v>
      </c>
      <c r="AF93" t="s">
        <v>1378</v>
      </c>
      <c r="AG93" s="6">
        <v>0.12</v>
      </c>
      <c r="AH93" s="2">
        <v>0.02</v>
      </c>
      <c r="AI93" s="5">
        <v>6.7</v>
      </c>
      <c r="AJ93" s="5">
        <v>5.4</v>
      </c>
      <c r="AK93" s="5" t="s">
        <v>443</v>
      </c>
      <c r="AL93" s="5">
        <v>8.9</v>
      </c>
      <c r="AM93" s="5">
        <v>11.1</v>
      </c>
      <c r="AN93" s="5">
        <v>10.78</v>
      </c>
      <c r="AO93" s="2">
        <v>350.7</v>
      </c>
      <c r="AP93" s="5" t="s">
        <v>443</v>
      </c>
      <c r="AQ93" s="5" t="s">
        <v>443</v>
      </c>
      <c r="AR93" s="2" t="s">
        <v>1370</v>
      </c>
      <c r="AS93" t="s">
        <v>1333</v>
      </c>
    </row>
    <row r="94" spans="1:45" x14ac:dyDescent="0.35">
      <c r="A94" t="s">
        <v>209</v>
      </c>
      <c r="B94" t="s">
        <v>297</v>
      </c>
      <c r="C94" t="s">
        <v>972</v>
      </c>
      <c r="D94" s="2" t="s">
        <v>592</v>
      </c>
      <c r="E94" s="2" t="s">
        <v>1368</v>
      </c>
      <c r="F94" s="2" t="s">
        <v>716</v>
      </c>
      <c r="G94" s="3" t="s">
        <v>443</v>
      </c>
      <c r="H94" s="3" t="s">
        <v>443</v>
      </c>
      <c r="I94" s="3" t="s">
        <v>443</v>
      </c>
      <c r="J94" s="3" t="s">
        <v>443</v>
      </c>
      <c r="K94" s="3" t="s">
        <v>443</v>
      </c>
      <c r="L94" s="3" t="s">
        <v>443</v>
      </c>
      <c r="M94" s="3" t="s">
        <v>443</v>
      </c>
      <c r="N94" s="3" t="s">
        <v>443</v>
      </c>
      <c r="O94" s="5">
        <v>83</v>
      </c>
      <c r="P94" s="5">
        <v>2.1</v>
      </c>
      <c r="Q94" s="5">
        <v>1.2</v>
      </c>
      <c r="R94" s="5">
        <v>13.8</v>
      </c>
      <c r="S94" s="5">
        <v>17.7</v>
      </c>
      <c r="T94" s="5">
        <v>25.5</v>
      </c>
      <c r="U94" s="5">
        <v>46.1</v>
      </c>
      <c r="V94" s="5">
        <v>10.7</v>
      </c>
      <c r="W94" s="5">
        <f t="shared" si="3"/>
        <v>56.8</v>
      </c>
      <c r="X94" s="3" t="s">
        <v>443</v>
      </c>
      <c r="Y94" t="s">
        <v>1353</v>
      </c>
      <c r="Z94" s="4" t="s">
        <v>198</v>
      </c>
      <c r="AA94" t="s">
        <v>183</v>
      </c>
      <c r="AB94" t="s">
        <v>210</v>
      </c>
      <c r="AC94" t="s">
        <v>1333</v>
      </c>
      <c r="AD94" t="s">
        <v>830</v>
      </c>
      <c r="AE94" t="s">
        <v>1365</v>
      </c>
      <c r="AF94" t="s">
        <v>1378</v>
      </c>
      <c r="AG94" s="6">
        <v>0.06</v>
      </c>
      <c r="AH94" s="2">
        <v>0.02</v>
      </c>
      <c r="AI94" s="5">
        <v>4.2</v>
      </c>
      <c r="AJ94" s="5">
        <v>3.4</v>
      </c>
      <c r="AK94" s="5" t="s">
        <v>443</v>
      </c>
      <c r="AL94" s="5">
        <v>9.3000000000000007</v>
      </c>
      <c r="AM94" s="5">
        <v>9.5</v>
      </c>
      <c r="AN94" s="5">
        <v>11.58</v>
      </c>
      <c r="AO94" s="2">
        <v>318.60000000000002</v>
      </c>
      <c r="AP94" s="5" t="s">
        <v>443</v>
      </c>
      <c r="AQ94" s="5" t="s">
        <v>443</v>
      </c>
      <c r="AR94" s="2" t="s">
        <v>1370</v>
      </c>
      <c r="AS94" t="s">
        <v>1332</v>
      </c>
    </row>
    <row r="95" spans="1:45" x14ac:dyDescent="0.35">
      <c r="A95" t="s">
        <v>211</v>
      </c>
      <c r="B95" t="s">
        <v>987</v>
      </c>
      <c r="C95" t="s">
        <v>972</v>
      </c>
      <c r="D95" s="2" t="s">
        <v>592</v>
      </c>
      <c r="E95" s="2" t="s">
        <v>1368</v>
      </c>
      <c r="F95" s="2" t="s">
        <v>716</v>
      </c>
      <c r="G95" s="3">
        <v>597</v>
      </c>
      <c r="H95" s="3">
        <v>7</v>
      </c>
      <c r="I95" s="3">
        <v>15</v>
      </c>
      <c r="J95" s="3">
        <v>32</v>
      </c>
      <c r="K95" s="3">
        <v>118</v>
      </c>
      <c r="L95" s="3">
        <v>85</v>
      </c>
      <c r="M95" s="3">
        <v>1049</v>
      </c>
      <c r="N95" s="3">
        <v>62</v>
      </c>
      <c r="O95" s="5">
        <v>87.9</v>
      </c>
      <c r="P95" s="5">
        <v>0.6</v>
      </c>
      <c r="Q95" s="5">
        <v>2.5</v>
      </c>
      <c r="R95" s="5">
        <v>8.9</v>
      </c>
      <c r="S95" s="5">
        <v>13.7</v>
      </c>
      <c r="T95" s="5">
        <v>7.3</v>
      </c>
      <c r="U95" s="5">
        <v>70.599999999999994</v>
      </c>
      <c r="V95" s="5">
        <v>8.5</v>
      </c>
      <c r="W95" s="5">
        <f t="shared" si="3"/>
        <v>79.099999999999994</v>
      </c>
      <c r="X95" s="3">
        <v>9.5999968590839924</v>
      </c>
      <c r="Y95" t="s">
        <v>616</v>
      </c>
      <c r="Z95" s="4" t="s">
        <v>198</v>
      </c>
      <c r="AA95" t="s">
        <v>183</v>
      </c>
      <c r="AB95" t="s">
        <v>212</v>
      </c>
      <c r="AC95" t="s">
        <v>1333</v>
      </c>
      <c r="AD95" t="s">
        <v>829</v>
      </c>
      <c r="AE95" t="s">
        <v>1365</v>
      </c>
      <c r="AF95" t="s">
        <v>1378</v>
      </c>
      <c r="AG95" s="6">
        <v>0.02</v>
      </c>
      <c r="AH95" s="2">
        <v>0.02</v>
      </c>
      <c r="AI95" s="5">
        <v>4.5</v>
      </c>
      <c r="AJ95" s="5">
        <v>3.6</v>
      </c>
      <c r="AK95" s="5" t="s">
        <v>443</v>
      </c>
      <c r="AL95" s="5">
        <v>8.9</v>
      </c>
      <c r="AM95" s="5">
        <v>14.2</v>
      </c>
      <c r="AN95" s="5">
        <v>10.1</v>
      </c>
      <c r="AO95" s="2">
        <v>77</v>
      </c>
      <c r="AP95" s="5" t="s">
        <v>443</v>
      </c>
      <c r="AQ95" s="5" t="s">
        <v>443</v>
      </c>
      <c r="AR95" s="2" t="s">
        <v>1370</v>
      </c>
      <c r="AS95" t="s">
        <v>1333</v>
      </c>
    </row>
    <row r="96" spans="1:45" x14ac:dyDescent="0.35">
      <c r="A96" t="s">
        <v>213</v>
      </c>
      <c r="B96" t="s">
        <v>946</v>
      </c>
      <c r="C96" t="s">
        <v>972</v>
      </c>
      <c r="D96" s="2" t="s">
        <v>592</v>
      </c>
      <c r="E96" s="2" t="s">
        <v>1368</v>
      </c>
      <c r="F96" s="2" t="s">
        <v>716</v>
      </c>
      <c r="G96" s="3">
        <v>423</v>
      </c>
      <c r="H96" s="3">
        <v>21</v>
      </c>
      <c r="I96" s="3">
        <v>22</v>
      </c>
      <c r="J96" s="3">
        <v>71</v>
      </c>
      <c r="K96" s="3">
        <v>105</v>
      </c>
      <c r="L96" s="3">
        <v>305</v>
      </c>
      <c r="M96" s="3">
        <v>741</v>
      </c>
      <c r="N96" s="3">
        <v>75</v>
      </c>
      <c r="O96" s="5">
        <v>71.099999999999994</v>
      </c>
      <c r="P96" s="5">
        <v>2.1</v>
      </c>
      <c r="Q96" s="5">
        <v>4.2</v>
      </c>
      <c r="R96" s="5">
        <v>22.6</v>
      </c>
      <c r="S96" s="5">
        <v>12.4</v>
      </c>
      <c r="T96" s="5">
        <v>26.5</v>
      </c>
      <c r="U96" s="5">
        <v>50.7</v>
      </c>
      <c r="V96" s="5">
        <v>10.4</v>
      </c>
      <c r="W96" s="5">
        <f t="shared" si="3"/>
        <v>61.1</v>
      </c>
      <c r="X96" s="3">
        <v>3.8571225281985284</v>
      </c>
      <c r="Y96" t="s">
        <v>616</v>
      </c>
      <c r="Z96" s="4" t="s">
        <v>198</v>
      </c>
      <c r="AA96" t="s">
        <v>183</v>
      </c>
      <c r="AB96" t="s">
        <v>214</v>
      </c>
      <c r="AC96" t="s">
        <v>1333</v>
      </c>
      <c r="AD96" t="s">
        <v>796</v>
      </c>
      <c r="AE96" t="s">
        <v>1365</v>
      </c>
      <c r="AF96" t="s">
        <v>1378</v>
      </c>
      <c r="AG96" s="6">
        <v>0.32</v>
      </c>
      <c r="AH96" s="2">
        <v>0.02</v>
      </c>
      <c r="AI96" s="5">
        <v>3.5</v>
      </c>
      <c r="AJ96" s="5">
        <v>2.8</v>
      </c>
      <c r="AK96" s="5" t="s">
        <v>443</v>
      </c>
      <c r="AL96" s="5">
        <v>9.1999999999999993</v>
      </c>
      <c r="AM96" s="5">
        <v>20</v>
      </c>
      <c r="AN96" s="5">
        <v>9.0299999999999994</v>
      </c>
      <c r="AO96" s="2">
        <v>177.2</v>
      </c>
      <c r="AP96" s="5" t="s">
        <v>443</v>
      </c>
      <c r="AQ96" s="5" t="s">
        <v>443</v>
      </c>
      <c r="AR96" s="2" t="s">
        <v>1370</v>
      </c>
      <c r="AS96" t="s">
        <v>1333</v>
      </c>
    </row>
    <row r="97" spans="1:45" x14ac:dyDescent="0.35">
      <c r="A97" t="s">
        <v>215</v>
      </c>
      <c r="B97" t="s">
        <v>273</v>
      </c>
      <c r="C97" t="s">
        <v>972</v>
      </c>
      <c r="D97" s="2" t="s">
        <v>592</v>
      </c>
      <c r="E97" s="2" t="s">
        <v>1368</v>
      </c>
      <c r="F97" s="2" t="s">
        <v>716</v>
      </c>
      <c r="G97" s="3">
        <v>521</v>
      </c>
      <c r="H97" s="3">
        <v>7</v>
      </c>
      <c r="I97" s="3">
        <v>7</v>
      </c>
      <c r="J97" s="3">
        <v>24</v>
      </c>
      <c r="K97" s="3">
        <v>73</v>
      </c>
      <c r="L97" s="3">
        <v>57</v>
      </c>
      <c r="M97" s="3">
        <v>1088</v>
      </c>
      <c r="N97" s="3">
        <v>74</v>
      </c>
      <c r="O97" s="5">
        <v>90.1</v>
      </c>
      <c r="P97" s="5">
        <v>0.7</v>
      </c>
      <c r="Q97" s="5">
        <v>1.4</v>
      </c>
      <c r="R97" s="5">
        <v>7.8</v>
      </c>
      <c r="S97" s="5">
        <v>8.6999999999999993</v>
      </c>
      <c r="T97" s="5">
        <v>5</v>
      </c>
      <c r="U97" s="5">
        <v>75.7</v>
      </c>
      <c r="V97" s="5">
        <v>10.5</v>
      </c>
      <c r="W97" s="5">
        <f t="shared" si="3"/>
        <v>86.2</v>
      </c>
      <c r="X97" s="3">
        <v>3.3316169311393398</v>
      </c>
      <c r="Y97" t="s">
        <v>616</v>
      </c>
      <c r="Z97" s="4" t="s">
        <v>198</v>
      </c>
      <c r="AA97" t="s">
        <v>183</v>
      </c>
      <c r="AB97" t="s">
        <v>216</v>
      </c>
      <c r="AC97" t="s">
        <v>1333</v>
      </c>
      <c r="AD97" t="s">
        <v>828</v>
      </c>
      <c r="AE97" t="s">
        <v>1365</v>
      </c>
      <c r="AF97" t="s">
        <v>1378</v>
      </c>
      <c r="AG97" s="6">
        <v>0.03</v>
      </c>
      <c r="AH97" s="2">
        <v>0.02</v>
      </c>
      <c r="AI97" s="5">
        <v>3</v>
      </c>
      <c r="AJ97" s="5">
        <v>2.4</v>
      </c>
      <c r="AK97" s="5" t="s">
        <v>443</v>
      </c>
      <c r="AL97" s="5">
        <v>9.1999999999999993</v>
      </c>
      <c r="AM97" s="5">
        <v>21.5</v>
      </c>
      <c r="AN97" s="5">
        <v>8.5500000000000007</v>
      </c>
      <c r="AO97" s="2">
        <v>203.8</v>
      </c>
      <c r="AP97" s="5" t="s">
        <v>443</v>
      </c>
      <c r="AQ97" s="5" t="s">
        <v>443</v>
      </c>
      <c r="AR97" s="2" t="s">
        <v>1370</v>
      </c>
      <c r="AS97" t="s">
        <v>1333</v>
      </c>
    </row>
    <row r="98" spans="1:45" x14ac:dyDescent="0.35">
      <c r="A98" t="s">
        <v>217</v>
      </c>
      <c r="B98" t="s">
        <v>275</v>
      </c>
      <c r="C98" t="s">
        <v>972</v>
      </c>
      <c r="D98" s="2" t="s">
        <v>592</v>
      </c>
      <c r="E98" s="2" t="s">
        <v>1368</v>
      </c>
      <c r="F98" s="2" t="s">
        <v>716</v>
      </c>
      <c r="G98" s="3">
        <v>2418</v>
      </c>
      <c r="H98" s="3">
        <v>93</v>
      </c>
      <c r="I98" s="3">
        <v>4</v>
      </c>
      <c r="J98" s="3">
        <v>85</v>
      </c>
      <c r="K98" s="3">
        <v>720</v>
      </c>
      <c r="L98" s="3">
        <v>498</v>
      </c>
      <c r="M98" s="3">
        <v>5877</v>
      </c>
      <c r="N98" s="3">
        <v>370</v>
      </c>
      <c r="O98" s="5">
        <v>91.7</v>
      </c>
      <c r="P98" s="5">
        <v>2.1</v>
      </c>
      <c r="Q98" s="5">
        <v>0.2</v>
      </c>
      <c r="R98" s="5">
        <v>6.1</v>
      </c>
      <c r="S98" s="5">
        <v>14.6</v>
      </c>
      <c r="T98" s="5">
        <v>7.4</v>
      </c>
      <c r="U98" s="5">
        <v>69.099999999999994</v>
      </c>
      <c r="V98" s="5">
        <v>8.9</v>
      </c>
      <c r="W98" s="5">
        <f t="shared" si="3"/>
        <v>78</v>
      </c>
      <c r="X98" s="3">
        <v>-9.6722101297820426</v>
      </c>
      <c r="Y98" t="s">
        <v>616</v>
      </c>
      <c r="Z98" s="4" t="s">
        <v>198</v>
      </c>
      <c r="AA98" t="s">
        <v>183</v>
      </c>
      <c r="AB98" t="s">
        <v>218</v>
      </c>
      <c r="AC98" t="s">
        <v>1333</v>
      </c>
      <c r="AD98" t="s">
        <v>826</v>
      </c>
      <c r="AE98" t="s">
        <v>1365</v>
      </c>
      <c r="AF98" t="s">
        <v>1378</v>
      </c>
      <c r="AG98" s="6">
        <v>0.15</v>
      </c>
      <c r="AH98" s="2">
        <v>0.02</v>
      </c>
      <c r="AI98" s="5">
        <v>7.2</v>
      </c>
      <c r="AJ98" s="5">
        <v>5.8</v>
      </c>
      <c r="AK98" s="5" t="s">
        <v>443</v>
      </c>
      <c r="AL98" s="5">
        <v>9.5</v>
      </c>
      <c r="AM98" s="5">
        <v>16.2</v>
      </c>
      <c r="AN98" s="5">
        <v>10.130000000000001</v>
      </c>
      <c r="AO98" s="2">
        <v>38.4</v>
      </c>
      <c r="AP98" s="5" t="s">
        <v>443</v>
      </c>
      <c r="AQ98" s="5" t="s">
        <v>443</v>
      </c>
      <c r="AR98" s="2" t="s">
        <v>1370</v>
      </c>
      <c r="AS98" t="s">
        <v>1333</v>
      </c>
    </row>
    <row r="99" spans="1:45" x14ac:dyDescent="0.35">
      <c r="A99" t="s">
        <v>219</v>
      </c>
      <c r="B99" t="s">
        <v>1046</v>
      </c>
      <c r="C99" t="s">
        <v>1066</v>
      </c>
      <c r="D99" s="2" t="s">
        <v>592</v>
      </c>
      <c r="E99" s="2" t="s">
        <v>1368</v>
      </c>
      <c r="F99" s="2" t="s">
        <v>716</v>
      </c>
      <c r="G99" s="3" t="s">
        <v>443</v>
      </c>
      <c r="H99" s="3" t="s">
        <v>443</v>
      </c>
      <c r="I99" s="3" t="s">
        <v>443</v>
      </c>
      <c r="J99" s="3" t="s">
        <v>443</v>
      </c>
      <c r="K99" s="3" t="s">
        <v>443</v>
      </c>
      <c r="L99" s="3" t="s">
        <v>443</v>
      </c>
      <c r="M99" s="3" t="s">
        <v>443</v>
      </c>
      <c r="N99" s="3" t="s">
        <v>443</v>
      </c>
      <c r="O99" s="5">
        <v>69.2</v>
      </c>
      <c r="P99" s="5">
        <v>1.2</v>
      </c>
      <c r="Q99" s="5">
        <v>2.2000000000000002</v>
      </c>
      <c r="R99" s="5">
        <v>24.4</v>
      </c>
      <c r="S99" s="5">
        <v>14.9</v>
      </c>
      <c r="T99" s="5">
        <v>11.7</v>
      </c>
      <c r="U99" s="5">
        <v>70.7</v>
      </c>
      <c r="V99" s="5">
        <v>2.7</v>
      </c>
      <c r="W99" s="5">
        <f t="shared" si="3"/>
        <v>73.400000000000006</v>
      </c>
      <c r="X99" s="3" t="s">
        <v>443</v>
      </c>
      <c r="Y99" t="s">
        <v>1353</v>
      </c>
      <c r="Z99" s="4" t="s">
        <v>198</v>
      </c>
      <c r="AA99" t="s">
        <v>183</v>
      </c>
      <c r="AB99" t="s">
        <v>220</v>
      </c>
      <c r="AC99" t="s">
        <v>1332</v>
      </c>
      <c r="AD99" t="s">
        <v>825</v>
      </c>
      <c r="AE99" t="s">
        <v>1365</v>
      </c>
      <c r="AF99" t="s">
        <v>1378</v>
      </c>
      <c r="AG99" s="6">
        <v>0.09</v>
      </c>
      <c r="AH99" s="2">
        <v>0.02</v>
      </c>
      <c r="AI99" s="5">
        <v>4.0999999999999996</v>
      </c>
      <c r="AJ99" s="5">
        <v>3.3</v>
      </c>
      <c r="AK99" s="5" t="s">
        <v>443</v>
      </c>
      <c r="AL99" s="5">
        <v>8.6</v>
      </c>
      <c r="AM99" s="5">
        <v>14.6</v>
      </c>
      <c r="AN99" s="5">
        <v>12.27</v>
      </c>
      <c r="AO99" s="2">
        <v>21.9</v>
      </c>
      <c r="AP99" s="5" t="s">
        <v>443</v>
      </c>
      <c r="AQ99" s="5" t="s">
        <v>443</v>
      </c>
      <c r="AR99" s="2" t="s">
        <v>1370</v>
      </c>
      <c r="AS99" t="s">
        <v>1332</v>
      </c>
    </row>
    <row r="100" spans="1:45" x14ac:dyDescent="0.35">
      <c r="A100" t="s">
        <v>221</v>
      </c>
      <c r="B100" t="s">
        <v>792</v>
      </c>
      <c r="C100" t="s">
        <v>972</v>
      </c>
      <c r="D100" s="2" t="s">
        <v>592</v>
      </c>
      <c r="E100" s="2" t="s">
        <v>1368</v>
      </c>
      <c r="F100" s="2" t="s">
        <v>716</v>
      </c>
      <c r="G100" s="3">
        <v>722</v>
      </c>
      <c r="H100" s="3">
        <v>49</v>
      </c>
      <c r="I100" s="3">
        <v>16</v>
      </c>
      <c r="J100" s="3">
        <v>249</v>
      </c>
      <c r="K100" s="3">
        <v>516</v>
      </c>
      <c r="L100" s="3">
        <v>849</v>
      </c>
      <c r="M100" s="3">
        <v>1124</v>
      </c>
      <c r="N100" s="3">
        <v>87</v>
      </c>
      <c r="O100" s="5">
        <v>58.2</v>
      </c>
      <c r="P100" s="5">
        <v>2.2999999999999998</v>
      </c>
      <c r="Q100" s="5">
        <v>1.4</v>
      </c>
      <c r="R100" s="5">
        <v>38</v>
      </c>
      <c r="S100" s="5">
        <v>27.2</v>
      </c>
      <c r="T100" s="5">
        <v>33</v>
      </c>
      <c r="U100" s="5">
        <v>34.4</v>
      </c>
      <c r="V100" s="5">
        <v>5.4</v>
      </c>
      <c r="W100" s="5">
        <f t="shared" si="3"/>
        <v>39.799999999999997</v>
      </c>
      <c r="X100" s="3">
        <v>0.37025230326132963</v>
      </c>
      <c r="Y100" t="s">
        <v>609</v>
      </c>
      <c r="Z100" s="4" t="s">
        <v>198</v>
      </c>
      <c r="AA100" t="s">
        <v>205</v>
      </c>
      <c r="AB100" t="s">
        <v>222</v>
      </c>
      <c r="AC100" t="s">
        <v>1333</v>
      </c>
      <c r="AD100" t="s">
        <v>824</v>
      </c>
      <c r="AE100" t="s">
        <v>1365</v>
      </c>
      <c r="AF100" t="s">
        <v>1378</v>
      </c>
      <c r="AG100" s="6">
        <v>0.06</v>
      </c>
      <c r="AH100" s="2">
        <v>0.02</v>
      </c>
      <c r="AI100" s="5">
        <v>3.6</v>
      </c>
      <c r="AJ100" s="5">
        <v>2.9</v>
      </c>
      <c r="AK100" s="5" t="s">
        <v>443</v>
      </c>
      <c r="AL100" s="5">
        <v>9.1</v>
      </c>
      <c r="AM100" s="5">
        <v>13.7</v>
      </c>
      <c r="AN100" s="5">
        <v>10.07</v>
      </c>
      <c r="AO100" s="2">
        <v>90.4</v>
      </c>
      <c r="AP100" s="5" t="s">
        <v>443</v>
      </c>
      <c r="AQ100" s="5" t="s">
        <v>443</v>
      </c>
      <c r="AR100" s="2" t="s">
        <v>1370</v>
      </c>
      <c r="AS100" t="s">
        <v>1333</v>
      </c>
    </row>
    <row r="101" spans="1:45" x14ac:dyDescent="0.35">
      <c r="A101" t="s">
        <v>223</v>
      </c>
      <c r="B101" t="s">
        <v>815</v>
      </c>
      <c r="C101" t="s">
        <v>972</v>
      </c>
      <c r="D101" s="2" t="s">
        <v>592</v>
      </c>
      <c r="E101" s="2" t="s">
        <v>1368</v>
      </c>
      <c r="F101" s="2" t="s">
        <v>716</v>
      </c>
      <c r="G101" s="3">
        <v>712</v>
      </c>
      <c r="H101" s="3">
        <v>18</v>
      </c>
      <c r="I101" s="3">
        <v>13</v>
      </c>
      <c r="J101" s="3">
        <v>77</v>
      </c>
      <c r="K101" s="3">
        <v>166</v>
      </c>
      <c r="L101" s="3">
        <v>143</v>
      </c>
      <c r="M101" s="3">
        <v>1327</v>
      </c>
      <c r="N101" s="3">
        <v>96</v>
      </c>
      <c r="O101" s="5">
        <v>80.599999999999994</v>
      </c>
      <c r="P101" s="5">
        <v>1.2</v>
      </c>
      <c r="Q101" s="5">
        <v>1.7</v>
      </c>
      <c r="R101" s="5">
        <v>16.5</v>
      </c>
      <c r="S101" s="5">
        <v>14.4</v>
      </c>
      <c r="T101" s="5">
        <v>9.1</v>
      </c>
      <c r="U101" s="5">
        <v>66.7</v>
      </c>
      <c r="V101" s="5">
        <v>9.8000000000000007</v>
      </c>
      <c r="W101" s="5">
        <f t="shared" si="3"/>
        <v>76.5</v>
      </c>
      <c r="X101" s="3">
        <v>8.179795244056761</v>
      </c>
      <c r="Y101" t="s">
        <v>616</v>
      </c>
      <c r="Z101" s="4" t="s">
        <v>198</v>
      </c>
      <c r="AA101" t="s">
        <v>183</v>
      </c>
      <c r="AB101" t="s">
        <v>224</v>
      </c>
      <c r="AC101" t="s">
        <v>1333</v>
      </c>
      <c r="AD101" t="s">
        <v>823</v>
      </c>
      <c r="AE101" t="s">
        <v>1365</v>
      </c>
      <c r="AF101" t="s">
        <v>1378</v>
      </c>
      <c r="AG101" s="6">
        <v>0.06</v>
      </c>
      <c r="AH101" s="2">
        <v>0.02</v>
      </c>
      <c r="AI101" s="5">
        <v>8.5</v>
      </c>
      <c r="AJ101" s="5">
        <v>6.8</v>
      </c>
      <c r="AK101" s="5" t="s">
        <v>443</v>
      </c>
      <c r="AL101" s="5">
        <v>9.6999999999999993</v>
      </c>
      <c r="AM101" s="5">
        <v>11.8</v>
      </c>
      <c r="AN101" s="5">
        <v>11.2</v>
      </c>
      <c r="AO101" s="2">
        <v>13.1</v>
      </c>
      <c r="AP101" s="5" t="s">
        <v>443</v>
      </c>
      <c r="AQ101" s="5" t="s">
        <v>443</v>
      </c>
      <c r="AR101" s="2" t="s">
        <v>1370</v>
      </c>
      <c r="AS101" t="s">
        <v>1333</v>
      </c>
    </row>
    <row r="102" spans="1:45" x14ac:dyDescent="0.35">
      <c r="A102" t="s">
        <v>225</v>
      </c>
      <c r="B102" t="s">
        <v>226</v>
      </c>
      <c r="C102" t="s">
        <v>972</v>
      </c>
      <c r="D102" s="2" t="s">
        <v>592</v>
      </c>
      <c r="E102" s="2" t="s">
        <v>1368</v>
      </c>
      <c r="F102" s="2" t="s">
        <v>716</v>
      </c>
      <c r="G102" s="3">
        <v>2090</v>
      </c>
      <c r="H102" s="3">
        <v>77</v>
      </c>
      <c r="I102" s="3">
        <v>3</v>
      </c>
      <c r="J102" s="3">
        <v>53</v>
      </c>
      <c r="K102" s="3">
        <v>642</v>
      </c>
      <c r="L102" s="3">
        <v>397</v>
      </c>
      <c r="M102" s="3">
        <v>4856</v>
      </c>
      <c r="N102" s="3">
        <v>308</v>
      </c>
      <c r="O102" s="5">
        <v>93.3</v>
      </c>
      <c r="P102" s="5">
        <v>2</v>
      </c>
      <c r="Q102" s="5">
        <v>0.2</v>
      </c>
      <c r="R102" s="5">
        <v>4.5</v>
      </c>
      <c r="S102" s="5">
        <v>15.6</v>
      </c>
      <c r="T102" s="5">
        <v>7.1</v>
      </c>
      <c r="U102" s="5">
        <v>68.5</v>
      </c>
      <c r="V102" s="5">
        <v>8.8000000000000007</v>
      </c>
      <c r="W102" s="5">
        <f t="shared" si="3"/>
        <v>77.3</v>
      </c>
      <c r="X102" s="3">
        <v>-8.8162086583849941</v>
      </c>
      <c r="Y102" t="s">
        <v>616</v>
      </c>
      <c r="Z102" s="4" t="s">
        <v>198</v>
      </c>
      <c r="AA102" t="s">
        <v>183</v>
      </c>
      <c r="AB102" t="s">
        <v>227</v>
      </c>
      <c r="AC102" t="s">
        <v>1333</v>
      </c>
      <c r="AD102" t="s">
        <v>822</v>
      </c>
      <c r="AE102" t="s">
        <v>1365</v>
      </c>
      <c r="AF102" t="s">
        <v>1378</v>
      </c>
      <c r="AG102" s="6">
        <v>0.05</v>
      </c>
      <c r="AH102" s="2">
        <v>0.02</v>
      </c>
      <c r="AI102" s="5">
        <v>8.6999999999999993</v>
      </c>
      <c r="AJ102" s="5">
        <v>7</v>
      </c>
      <c r="AK102" s="5" t="s">
        <v>443</v>
      </c>
      <c r="AL102" s="5">
        <v>9.6</v>
      </c>
      <c r="AM102" s="5">
        <v>17.5</v>
      </c>
      <c r="AN102" s="5">
        <v>10.82</v>
      </c>
      <c r="AO102" s="2">
        <v>168.3</v>
      </c>
      <c r="AP102" s="5" t="s">
        <v>443</v>
      </c>
      <c r="AQ102" s="5" t="s">
        <v>443</v>
      </c>
      <c r="AR102" s="2" t="s">
        <v>1370</v>
      </c>
      <c r="AS102" t="s">
        <v>1333</v>
      </c>
    </row>
    <row r="103" spans="1:45" x14ac:dyDescent="0.35">
      <c r="A103" t="s">
        <v>228</v>
      </c>
      <c r="B103" t="s">
        <v>229</v>
      </c>
      <c r="C103" t="s">
        <v>972</v>
      </c>
      <c r="D103" s="2" t="s">
        <v>592</v>
      </c>
      <c r="E103" s="2" t="s">
        <v>1368</v>
      </c>
      <c r="F103" s="2" t="s">
        <v>716</v>
      </c>
      <c r="G103" s="3">
        <v>5350</v>
      </c>
      <c r="H103" s="3">
        <v>51</v>
      </c>
      <c r="I103" s="3">
        <v>8</v>
      </c>
      <c r="J103" s="3">
        <v>69</v>
      </c>
      <c r="K103" s="3">
        <v>1130</v>
      </c>
      <c r="L103" s="3">
        <v>1814</v>
      </c>
      <c r="M103" s="3">
        <v>17636</v>
      </c>
      <c r="N103" s="3">
        <v>1019</v>
      </c>
      <c r="O103" s="5">
        <v>96.9</v>
      </c>
      <c r="P103" s="5">
        <v>0.5</v>
      </c>
      <c r="Q103" s="5">
        <v>0.2</v>
      </c>
      <c r="R103" s="5">
        <v>2.4</v>
      </c>
      <c r="S103" s="5">
        <v>8.1</v>
      </c>
      <c r="T103" s="5">
        <v>9.6</v>
      </c>
      <c r="U103" s="5">
        <v>73.599999999999994</v>
      </c>
      <c r="V103" s="5">
        <v>8.6999999999999993</v>
      </c>
      <c r="W103" s="5">
        <f t="shared" si="3"/>
        <v>82.3</v>
      </c>
      <c r="X103" s="3">
        <v>-24.108205053474645</v>
      </c>
      <c r="Y103" t="s">
        <v>1354</v>
      </c>
      <c r="Z103" s="4" t="s">
        <v>198</v>
      </c>
      <c r="AA103" t="s">
        <v>183</v>
      </c>
      <c r="AB103" t="s">
        <v>230</v>
      </c>
      <c r="AC103" t="s">
        <v>1333</v>
      </c>
      <c r="AD103" t="s">
        <v>821</v>
      </c>
      <c r="AE103" t="s">
        <v>1365</v>
      </c>
      <c r="AF103" t="s">
        <v>1378</v>
      </c>
      <c r="AG103" s="6">
        <v>0.06</v>
      </c>
      <c r="AH103" s="2">
        <v>0.02</v>
      </c>
      <c r="AI103" s="5">
        <v>4.2</v>
      </c>
      <c r="AJ103" s="5">
        <v>3.3</v>
      </c>
      <c r="AK103" s="5" t="s">
        <v>443</v>
      </c>
      <c r="AL103" s="5">
        <v>8.9</v>
      </c>
      <c r="AM103" s="5">
        <v>12</v>
      </c>
      <c r="AN103" s="5">
        <v>10.99</v>
      </c>
      <c r="AO103" s="2">
        <v>585.9</v>
      </c>
      <c r="AP103" s="5" t="s">
        <v>443</v>
      </c>
      <c r="AQ103" s="5" t="s">
        <v>443</v>
      </c>
      <c r="AR103" s="2" t="s">
        <v>1370</v>
      </c>
      <c r="AS103" t="s">
        <v>1333</v>
      </c>
    </row>
    <row r="104" spans="1:45" x14ac:dyDescent="0.35">
      <c r="A104" t="s">
        <v>231</v>
      </c>
      <c r="B104" t="s">
        <v>816</v>
      </c>
      <c r="C104" t="s">
        <v>972</v>
      </c>
      <c r="D104" s="2" t="s">
        <v>592</v>
      </c>
      <c r="E104" s="2" t="s">
        <v>1368</v>
      </c>
      <c r="F104" s="2" t="s">
        <v>716</v>
      </c>
      <c r="G104" s="3">
        <v>574</v>
      </c>
      <c r="H104" s="3">
        <v>7</v>
      </c>
      <c r="I104" s="3">
        <v>12</v>
      </c>
      <c r="J104" s="3">
        <v>41</v>
      </c>
      <c r="K104" s="3">
        <v>143</v>
      </c>
      <c r="L104" s="3">
        <v>78</v>
      </c>
      <c r="M104" s="3">
        <v>1160</v>
      </c>
      <c r="N104" s="3">
        <v>87</v>
      </c>
      <c r="O104" s="5">
        <v>85.7</v>
      </c>
      <c r="P104" s="5">
        <v>0.6</v>
      </c>
      <c r="Q104" s="5">
        <v>2.1</v>
      </c>
      <c r="R104" s="5">
        <v>11.6</v>
      </c>
      <c r="S104" s="5">
        <v>14.6</v>
      </c>
      <c r="T104" s="5">
        <v>5.9</v>
      </c>
      <c r="U104" s="5">
        <v>69</v>
      </c>
      <c r="V104" s="5">
        <v>10.5</v>
      </c>
      <c r="W104" s="5">
        <f t="shared" si="3"/>
        <v>79.5</v>
      </c>
      <c r="X104" s="3">
        <v>2.7372735721723478</v>
      </c>
      <c r="Y104" t="s">
        <v>616</v>
      </c>
      <c r="Z104" s="4" t="s">
        <v>198</v>
      </c>
      <c r="AA104" t="s">
        <v>183</v>
      </c>
      <c r="AB104" t="s">
        <v>232</v>
      </c>
      <c r="AC104" t="s">
        <v>1333</v>
      </c>
      <c r="AD104" t="s">
        <v>820</v>
      </c>
      <c r="AE104" t="s">
        <v>1365</v>
      </c>
      <c r="AF104" t="s">
        <v>1378</v>
      </c>
      <c r="AG104" s="6">
        <v>0.12</v>
      </c>
      <c r="AH104" s="2">
        <v>0.02</v>
      </c>
      <c r="AI104" s="5">
        <v>2.7</v>
      </c>
      <c r="AJ104" s="5">
        <v>2.2000000000000002</v>
      </c>
      <c r="AK104" s="5" t="s">
        <v>443</v>
      </c>
      <c r="AL104" s="5">
        <v>8.8000000000000007</v>
      </c>
      <c r="AM104" s="5">
        <v>12.7</v>
      </c>
      <c r="AN104" s="5">
        <v>10.33</v>
      </c>
      <c r="AO104" s="2">
        <v>351.1</v>
      </c>
      <c r="AP104" s="5" t="s">
        <v>443</v>
      </c>
      <c r="AQ104" s="5" t="s">
        <v>443</v>
      </c>
      <c r="AR104" s="2" t="s">
        <v>1370</v>
      </c>
      <c r="AS104" t="s">
        <v>1333</v>
      </c>
    </row>
    <row r="105" spans="1:45" x14ac:dyDescent="0.35">
      <c r="A105" t="s">
        <v>233</v>
      </c>
      <c r="B105" t="s">
        <v>814</v>
      </c>
      <c r="C105" t="s">
        <v>972</v>
      </c>
      <c r="D105" s="2" t="s">
        <v>592</v>
      </c>
      <c r="E105" s="2" t="s">
        <v>1368</v>
      </c>
      <c r="F105" s="2" t="s">
        <v>716</v>
      </c>
      <c r="G105" s="3">
        <v>350</v>
      </c>
      <c r="H105" s="3">
        <v>17</v>
      </c>
      <c r="I105" s="3">
        <v>32</v>
      </c>
      <c r="J105" s="3">
        <v>66</v>
      </c>
      <c r="K105" s="3">
        <v>119</v>
      </c>
      <c r="L105" s="3">
        <v>353</v>
      </c>
      <c r="M105" s="3">
        <v>667</v>
      </c>
      <c r="N105" s="3">
        <v>61</v>
      </c>
      <c r="O105" s="5">
        <v>67.099999999999994</v>
      </c>
      <c r="P105" s="5">
        <v>1.9</v>
      </c>
      <c r="Q105" s="5">
        <v>7</v>
      </c>
      <c r="R105" s="5">
        <v>23.9</v>
      </c>
      <c r="S105" s="5">
        <v>14.2</v>
      </c>
      <c r="T105" s="5">
        <v>31</v>
      </c>
      <c r="U105" s="5">
        <v>46.2</v>
      </c>
      <c r="V105" s="5">
        <v>8.6</v>
      </c>
      <c r="W105" s="5">
        <f t="shared" si="3"/>
        <v>54.800000000000004</v>
      </c>
      <c r="X105" s="3">
        <v>-2.1202061865020925</v>
      </c>
      <c r="Y105" t="s">
        <v>616</v>
      </c>
      <c r="Z105" s="4" t="s">
        <v>198</v>
      </c>
      <c r="AA105" t="s">
        <v>183</v>
      </c>
      <c r="AB105" t="s">
        <v>234</v>
      </c>
      <c r="AC105" t="s">
        <v>1333</v>
      </c>
      <c r="AD105" t="s">
        <v>813</v>
      </c>
      <c r="AE105" t="s">
        <v>1365</v>
      </c>
      <c r="AF105" t="s">
        <v>1378</v>
      </c>
      <c r="AG105" s="6">
        <v>0.22</v>
      </c>
      <c r="AH105" s="2">
        <v>0.02</v>
      </c>
      <c r="AI105" s="5">
        <v>3</v>
      </c>
      <c r="AJ105" s="5">
        <v>2.4</v>
      </c>
      <c r="AK105" s="5" t="s">
        <v>443</v>
      </c>
      <c r="AL105" s="5">
        <v>8.6</v>
      </c>
      <c r="AM105" s="5">
        <v>12.9</v>
      </c>
      <c r="AN105" s="5">
        <v>10.95</v>
      </c>
      <c r="AO105" s="2">
        <v>3.4</v>
      </c>
      <c r="AP105" s="5" t="s">
        <v>443</v>
      </c>
      <c r="AQ105" s="5" t="s">
        <v>443</v>
      </c>
      <c r="AR105" s="2" t="s">
        <v>1370</v>
      </c>
      <c r="AS105" t="s">
        <v>1333</v>
      </c>
    </row>
    <row r="106" spans="1:45" x14ac:dyDescent="0.35">
      <c r="A106" t="s">
        <v>235</v>
      </c>
      <c r="B106" t="s">
        <v>236</v>
      </c>
      <c r="C106" t="s">
        <v>972</v>
      </c>
      <c r="D106" s="2" t="s">
        <v>592</v>
      </c>
      <c r="E106" s="2" t="s">
        <v>1368</v>
      </c>
      <c r="F106" s="2" t="s">
        <v>716</v>
      </c>
      <c r="G106" s="3">
        <v>1735</v>
      </c>
      <c r="H106" s="3">
        <v>65</v>
      </c>
      <c r="I106" s="3">
        <v>4</v>
      </c>
      <c r="J106" s="3">
        <v>94</v>
      </c>
      <c r="K106" s="3">
        <v>561</v>
      </c>
      <c r="L106" s="3">
        <v>428</v>
      </c>
      <c r="M106" s="3">
        <v>3518</v>
      </c>
      <c r="N106" s="3">
        <v>217</v>
      </c>
      <c r="O106" s="5">
        <v>88.7</v>
      </c>
      <c r="P106" s="5">
        <v>2</v>
      </c>
      <c r="Q106" s="5">
        <v>0.2</v>
      </c>
      <c r="R106" s="5">
        <v>9.1</v>
      </c>
      <c r="S106" s="5">
        <v>17.7</v>
      </c>
      <c r="T106" s="5">
        <v>9.9</v>
      </c>
      <c r="U106" s="5">
        <v>64.3</v>
      </c>
      <c r="V106" s="5">
        <v>8.1</v>
      </c>
      <c r="W106" s="5">
        <f t="shared" si="3"/>
        <v>72.399999999999991</v>
      </c>
      <c r="X106" s="3">
        <v>-2.6083726229643505</v>
      </c>
      <c r="Y106" t="s">
        <v>616</v>
      </c>
      <c r="Z106" s="4" t="s">
        <v>198</v>
      </c>
      <c r="AA106" t="s">
        <v>183</v>
      </c>
      <c r="AB106" t="s">
        <v>237</v>
      </c>
      <c r="AC106" t="s">
        <v>1333</v>
      </c>
      <c r="AD106" t="s">
        <v>812</v>
      </c>
      <c r="AE106" t="s">
        <v>1365</v>
      </c>
      <c r="AF106" t="s">
        <v>1378</v>
      </c>
      <c r="AG106" s="6">
        <v>0.08</v>
      </c>
      <c r="AH106" s="2">
        <v>0.02</v>
      </c>
      <c r="AI106" s="5">
        <v>9.6999999999999993</v>
      </c>
      <c r="AJ106" s="5">
        <v>7.8</v>
      </c>
      <c r="AK106" s="5" t="s">
        <v>443</v>
      </c>
      <c r="AL106" s="5">
        <v>9.6</v>
      </c>
      <c r="AM106" s="5">
        <v>15.8</v>
      </c>
      <c r="AN106" s="5">
        <v>10.63</v>
      </c>
      <c r="AO106" s="2">
        <v>39.200000000000003</v>
      </c>
      <c r="AP106" s="5" t="s">
        <v>443</v>
      </c>
      <c r="AQ106" s="5" t="s">
        <v>443</v>
      </c>
      <c r="AR106" s="2" t="s">
        <v>1370</v>
      </c>
      <c r="AS106" t="s">
        <v>1333</v>
      </c>
    </row>
    <row r="107" spans="1:45" x14ac:dyDescent="0.35">
      <c r="A107" t="s">
        <v>238</v>
      </c>
      <c r="B107" t="s">
        <v>239</v>
      </c>
      <c r="C107" t="s">
        <v>972</v>
      </c>
      <c r="D107" s="2" t="s">
        <v>592</v>
      </c>
      <c r="E107" s="2" t="s">
        <v>1368</v>
      </c>
      <c r="F107" s="2" t="s">
        <v>716</v>
      </c>
      <c r="G107" s="3">
        <v>701</v>
      </c>
      <c r="H107" s="3">
        <v>3</v>
      </c>
      <c r="I107" s="3">
        <v>11</v>
      </c>
      <c r="J107" s="3">
        <v>34</v>
      </c>
      <c r="K107" s="3">
        <v>154</v>
      </c>
      <c r="L107" s="3">
        <v>130</v>
      </c>
      <c r="M107" s="3">
        <v>1339</v>
      </c>
      <c r="N107" s="3">
        <v>80</v>
      </c>
      <c r="O107" s="5">
        <v>89.9</v>
      </c>
      <c r="P107" s="5">
        <v>0.2</v>
      </c>
      <c r="Q107" s="5">
        <v>1.6</v>
      </c>
      <c r="R107" s="5">
        <v>8.3000000000000007</v>
      </c>
      <c r="S107" s="5">
        <v>13.7</v>
      </c>
      <c r="T107" s="5">
        <v>8.5</v>
      </c>
      <c r="U107" s="5">
        <v>69.3</v>
      </c>
      <c r="V107" s="5">
        <v>8.4</v>
      </c>
      <c r="W107" s="5">
        <f t="shared" si="3"/>
        <v>77.7</v>
      </c>
      <c r="X107" s="3">
        <v>3.4378438216352802</v>
      </c>
      <c r="Y107" t="s">
        <v>616</v>
      </c>
      <c r="Z107" s="4" t="s">
        <v>198</v>
      </c>
      <c r="AA107" t="s">
        <v>183</v>
      </c>
      <c r="AB107" t="s">
        <v>240</v>
      </c>
      <c r="AC107" t="s">
        <v>1333</v>
      </c>
      <c r="AD107" t="s">
        <v>811</v>
      </c>
      <c r="AE107" t="s">
        <v>1365</v>
      </c>
      <c r="AF107" t="s">
        <v>1378</v>
      </c>
      <c r="AG107" s="6">
        <v>0.05</v>
      </c>
      <c r="AH107" s="2">
        <v>0.02</v>
      </c>
      <c r="AI107" s="5">
        <v>8.1999999999999993</v>
      </c>
      <c r="AJ107" s="5">
        <v>6.6</v>
      </c>
      <c r="AK107" s="5" t="s">
        <v>443</v>
      </c>
      <c r="AL107" s="5">
        <v>8.9</v>
      </c>
      <c r="AM107" s="5">
        <v>13.1</v>
      </c>
      <c r="AN107" s="5">
        <v>10.41</v>
      </c>
      <c r="AO107" s="2">
        <v>90</v>
      </c>
      <c r="AP107" s="5" t="s">
        <v>443</v>
      </c>
      <c r="AQ107" s="5" t="s">
        <v>443</v>
      </c>
      <c r="AR107" s="2" t="s">
        <v>1370</v>
      </c>
      <c r="AS107" t="s">
        <v>1333</v>
      </c>
    </row>
    <row r="108" spans="1:45" x14ac:dyDescent="0.35">
      <c r="A108" t="s">
        <v>241</v>
      </c>
      <c r="B108" t="s">
        <v>242</v>
      </c>
      <c r="C108" t="s">
        <v>972</v>
      </c>
      <c r="D108" s="2" t="s">
        <v>592</v>
      </c>
      <c r="E108" s="2" t="s">
        <v>1368</v>
      </c>
      <c r="F108" s="2" t="s">
        <v>716</v>
      </c>
      <c r="G108" s="3">
        <v>383</v>
      </c>
      <c r="H108" s="3">
        <v>12</v>
      </c>
      <c r="I108" s="3">
        <v>13</v>
      </c>
      <c r="J108" s="3">
        <v>45</v>
      </c>
      <c r="K108" s="3">
        <v>116</v>
      </c>
      <c r="L108" s="3">
        <v>87</v>
      </c>
      <c r="M108" s="3">
        <v>912</v>
      </c>
      <c r="N108" s="3">
        <v>67</v>
      </c>
      <c r="O108" s="5">
        <v>78.099999999999994</v>
      </c>
      <c r="P108" s="5">
        <v>1.4</v>
      </c>
      <c r="Q108" s="5">
        <v>3</v>
      </c>
      <c r="R108" s="5">
        <v>17.399999999999999</v>
      </c>
      <c r="S108" s="5">
        <v>14.7</v>
      </c>
      <c r="T108" s="5">
        <v>8.1</v>
      </c>
      <c r="U108" s="5">
        <v>67.099999999999994</v>
      </c>
      <c r="V108" s="5">
        <v>10</v>
      </c>
      <c r="W108" s="5">
        <f t="shared" si="3"/>
        <v>77.099999999999994</v>
      </c>
      <c r="X108" s="3">
        <v>-2.1662971590493796</v>
      </c>
      <c r="Y108" t="s">
        <v>616</v>
      </c>
      <c r="Z108" s="4" t="s">
        <v>198</v>
      </c>
      <c r="AA108" t="s">
        <v>183</v>
      </c>
      <c r="AB108" t="s">
        <v>243</v>
      </c>
      <c r="AC108" t="s">
        <v>1333</v>
      </c>
      <c r="AD108" t="s">
        <v>810</v>
      </c>
      <c r="AE108" t="s">
        <v>1365</v>
      </c>
      <c r="AF108" t="s">
        <v>1378</v>
      </c>
      <c r="AG108" s="6">
        <v>0.04</v>
      </c>
      <c r="AH108" s="2">
        <v>0.02</v>
      </c>
      <c r="AI108" s="5">
        <v>2.2999999999999998</v>
      </c>
      <c r="AJ108" s="5">
        <v>1.8</v>
      </c>
      <c r="AK108" s="5" t="s">
        <v>443</v>
      </c>
      <c r="AL108" s="5">
        <v>8.9</v>
      </c>
      <c r="AM108" s="5">
        <v>13.4</v>
      </c>
      <c r="AN108" s="5">
        <v>11.18</v>
      </c>
      <c r="AO108" s="2">
        <v>182.3</v>
      </c>
      <c r="AP108" s="5" t="s">
        <v>443</v>
      </c>
      <c r="AQ108" s="5" t="s">
        <v>443</v>
      </c>
      <c r="AR108" s="2" t="s">
        <v>1370</v>
      </c>
      <c r="AS108" t="s">
        <v>1333</v>
      </c>
    </row>
    <row r="109" spans="1:45" x14ac:dyDescent="0.35">
      <c r="A109" t="s">
        <v>244</v>
      </c>
      <c r="B109" t="s">
        <v>817</v>
      </c>
      <c r="C109" t="s">
        <v>972</v>
      </c>
      <c r="D109" s="2" t="s">
        <v>592</v>
      </c>
      <c r="E109" s="2" t="s">
        <v>1368</v>
      </c>
      <c r="F109" s="2" t="s">
        <v>716</v>
      </c>
      <c r="G109" s="3">
        <v>2068</v>
      </c>
      <c r="H109" s="3">
        <v>121</v>
      </c>
      <c r="I109" s="3">
        <v>8</v>
      </c>
      <c r="J109" s="3">
        <v>101</v>
      </c>
      <c r="K109" s="3">
        <v>1148</v>
      </c>
      <c r="L109" s="3">
        <v>500</v>
      </c>
      <c r="M109" s="3">
        <v>3552</v>
      </c>
      <c r="N109" s="3">
        <v>212</v>
      </c>
      <c r="O109" s="5">
        <v>88.4</v>
      </c>
      <c r="P109" s="5">
        <v>3</v>
      </c>
      <c r="Q109" s="5">
        <v>0.4</v>
      </c>
      <c r="R109" s="5">
        <v>8.1999999999999993</v>
      </c>
      <c r="S109" s="5">
        <v>30</v>
      </c>
      <c r="T109" s="5">
        <v>9.6</v>
      </c>
      <c r="U109" s="5">
        <v>53.9</v>
      </c>
      <c r="V109" s="5">
        <v>6.5</v>
      </c>
      <c r="W109" s="5">
        <f t="shared" si="3"/>
        <v>60.4</v>
      </c>
      <c r="X109" s="3">
        <v>-3.0082251325828619</v>
      </c>
      <c r="Y109" t="s">
        <v>616</v>
      </c>
      <c r="Z109" s="4" t="s">
        <v>198</v>
      </c>
      <c r="AA109" t="s">
        <v>183</v>
      </c>
      <c r="AB109" t="s">
        <v>245</v>
      </c>
      <c r="AC109" t="s">
        <v>1333</v>
      </c>
      <c r="AD109" t="s">
        <v>809</v>
      </c>
      <c r="AE109" t="s">
        <v>1365</v>
      </c>
      <c r="AF109" t="s">
        <v>1378</v>
      </c>
      <c r="AG109" s="6">
        <v>0.12</v>
      </c>
      <c r="AH109" s="2">
        <v>0.02</v>
      </c>
      <c r="AI109" s="5">
        <v>11</v>
      </c>
      <c r="AJ109" s="5">
        <v>8.8000000000000007</v>
      </c>
      <c r="AK109" s="5" t="s">
        <v>443</v>
      </c>
      <c r="AL109" s="5">
        <v>9.8000000000000007</v>
      </c>
      <c r="AM109" s="5">
        <v>13.3</v>
      </c>
      <c r="AN109" s="5">
        <v>11.28</v>
      </c>
      <c r="AO109" s="2">
        <v>1</v>
      </c>
      <c r="AP109" s="5" t="s">
        <v>443</v>
      </c>
      <c r="AQ109" s="5" t="s">
        <v>443</v>
      </c>
      <c r="AR109" s="2" t="s">
        <v>1370</v>
      </c>
      <c r="AS109" t="s">
        <v>1333</v>
      </c>
    </row>
    <row r="110" spans="1:45" x14ac:dyDescent="0.35">
      <c r="A110" t="s">
        <v>246</v>
      </c>
      <c r="B110" t="s">
        <v>247</v>
      </c>
      <c r="C110" t="s">
        <v>972</v>
      </c>
      <c r="D110" s="2" t="s">
        <v>592</v>
      </c>
      <c r="E110" s="2" t="s">
        <v>1368</v>
      </c>
      <c r="F110" s="2" t="s">
        <v>716</v>
      </c>
      <c r="G110" s="3">
        <v>719</v>
      </c>
      <c r="H110" s="3">
        <v>10</v>
      </c>
      <c r="I110" s="3">
        <v>10</v>
      </c>
      <c r="J110" s="3">
        <v>6</v>
      </c>
      <c r="K110" s="3">
        <v>175</v>
      </c>
      <c r="L110" s="3">
        <v>400</v>
      </c>
      <c r="M110" s="3">
        <v>1268</v>
      </c>
      <c r="N110" s="3">
        <v>49</v>
      </c>
      <c r="O110" s="5">
        <v>96.2</v>
      </c>
      <c r="P110" s="5">
        <v>0.8</v>
      </c>
      <c r="Q110" s="5">
        <v>1.5</v>
      </c>
      <c r="R110" s="5">
        <v>1.5</v>
      </c>
      <c r="S110" s="5">
        <v>13.8</v>
      </c>
      <c r="T110" s="5">
        <v>23.3</v>
      </c>
      <c r="U110" s="5">
        <v>58.2</v>
      </c>
      <c r="V110" s="5">
        <v>4.5999999999999996</v>
      </c>
      <c r="W110" s="5">
        <f t="shared" si="3"/>
        <v>62.800000000000004</v>
      </c>
      <c r="X110" s="3">
        <v>-4.626043482357546</v>
      </c>
      <c r="Y110" t="s">
        <v>616</v>
      </c>
      <c r="Z110" s="4" t="s">
        <v>198</v>
      </c>
      <c r="AA110" t="s">
        <v>183</v>
      </c>
      <c r="AB110" t="s">
        <v>248</v>
      </c>
      <c r="AC110" t="s">
        <v>1333</v>
      </c>
      <c r="AD110" t="s">
        <v>808</v>
      </c>
      <c r="AE110" t="s">
        <v>1365</v>
      </c>
      <c r="AF110" t="s">
        <v>1378</v>
      </c>
      <c r="AG110" s="6">
        <v>0.03</v>
      </c>
      <c r="AH110" s="2">
        <v>0.02</v>
      </c>
      <c r="AI110" s="5">
        <v>6.1</v>
      </c>
      <c r="AJ110" s="5">
        <v>4.9000000000000004</v>
      </c>
      <c r="AK110" s="5" t="s">
        <v>443</v>
      </c>
      <c r="AL110" s="5">
        <v>9</v>
      </c>
      <c r="AM110" s="5">
        <v>12.3</v>
      </c>
      <c r="AN110" s="5">
        <v>10.69</v>
      </c>
      <c r="AO110" s="2">
        <v>190.9</v>
      </c>
      <c r="AP110" s="5" t="s">
        <v>443</v>
      </c>
      <c r="AQ110" s="5" t="s">
        <v>443</v>
      </c>
      <c r="AR110" s="2" t="s">
        <v>1370</v>
      </c>
      <c r="AS110" t="s">
        <v>1333</v>
      </c>
    </row>
    <row r="111" spans="1:45" x14ac:dyDescent="0.35">
      <c r="A111" t="s">
        <v>249</v>
      </c>
      <c r="B111" t="s">
        <v>250</v>
      </c>
      <c r="C111" t="s">
        <v>972</v>
      </c>
      <c r="D111" s="2" t="s">
        <v>592</v>
      </c>
      <c r="E111" s="2" t="s">
        <v>1368</v>
      </c>
      <c r="F111" s="2" t="s">
        <v>716</v>
      </c>
      <c r="G111" s="3">
        <v>378</v>
      </c>
      <c r="H111" s="3">
        <v>19</v>
      </c>
      <c r="I111" s="3">
        <v>27</v>
      </c>
      <c r="J111" s="3">
        <v>78</v>
      </c>
      <c r="K111" s="3">
        <v>110</v>
      </c>
      <c r="L111" s="3">
        <v>243</v>
      </c>
      <c r="M111" s="3">
        <v>717</v>
      </c>
      <c r="N111" s="3">
        <v>70</v>
      </c>
      <c r="O111" s="5">
        <v>66.599999999999994</v>
      </c>
      <c r="P111" s="5">
        <v>2</v>
      </c>
      <c r="Q111" s="5">
        <v>5.5</v>
      </c>
      <c r="R111" s="5">
        <v>26</v>
      </c>
      <c r="S111" s="5">
        <v>13.9</v>
      </c>
      <c r="T111" s="5">
        <v>22.7</v>
      </c>
      <c r="U111" s="5">
        <v>52.8</v>
      </c>
      <c r="V111" s="5">
        <v>10.5</v>
      </c>
      <c r="W111" s="5">
        <f t="shared" si="3"/>
        <v>63.3</v>
      </c>
      <c r="X111" s="3">
        <v>5.2173038181846474</v>
      </c>
      <c r="Y111" t="s">
        <v>616</v>
      </c>
      <c r="Z111" s="4" t="s">
        <v>198</v>
      </c>
      <c r="AA111" t="s">
        <v>183</v>
      </c>
      <c r="AB111" t="s">
        <v>251</v>
      </c>
      <c r="AC111" t="s">
        <v>1333</v>
      </c>
      <c r="AD111" t="s">
        <v>807</v>
      </c>
      <c r="AE111" t="s">
        <v>1365</v>
      </c>
      <c r="AF111" t="s">
        <v>1378</v>
      </c>
      <c r="AG111" s="6">
        <v>0.25</v>
      </c>
      <c r="AH111" s="2">
        <v>0.02</v>
      </c>
      <c r="AI111" s="5">
        <v>3.7</v>
      </c>
      <c r="AJ111" s="5">
        <v>2.9</v>
      </c>
      <c r="AK111" s="5" t="s">
        <v>443</v>
      </c>
      <c r="AL111" s="5">
        <v>8.6999999999999993</v>
      </c>
      <c r="AM111" s="5">
        <v>12.6</v>
      </c>
      <c r="AN111" s="5">
        <v>10.49</v>
      </c>
      <c r="AO111" s="2">
        <v>16.3</v>
      </c>
      <c r="AP111" s="5" t="s">
        <v>443</v>
      </c>
      <c r="AQ111" s="5" t="s">
        <v>443</v>
      </c>
      <c r="AR111" s="2" t="s">
        <v>1370</v>
      </c>
      <c r="AS111" t="s">
        <v>1333</v>
      </c>
    </row>
    <row r="112" spans="1:45" x14ac:dyDescent="0.35">
      <c r="A112" t="s">
        <v>252</v>
      </c>
      <c r="B112" t="s">
        <v>193</v>
      </c>
      <c r="C112" t="s">
        <v>972</v>
      </c>
      <c r="D112" s="2" t="s">
        <v>592</v>
      </c>
      <c r="E112" s="2" t="s">
        <v>1368</v>
      </c>
      <c r="F112" s="2" t="s">
        <v>716</v>
      </c>
      <c r="G112" s="3">
        <v>1257</v>
      </c>
      <c r="H112" s="3">
        <v>69</v>
      </c>
      <c r="I112" s="3">
        <v>15</v>
      </c>
      <c r="J112" s="3">
        <v>89</v>
      </c>
      <c r="K112" s="3">
        <v>551</v>
      </c>
      <c r="L112" s="3">
        <v>1036</v>
      </c>
      <c r="M112" s="3">
        <v>1755</v>
      </c>
      <c r="N112" s="3">
        <v>128</v>
      </c>
      <c r="O112" s="5">
        <v>84.8</v>
      </c>
      <c r="P112" s="5">
        <v>2.7</v>
      </c>
      <c r="Q112" s="5">
        <v>1.2</v>
      </c>
      <c r="R112" s="5">
        <v>11.4</v>
      </c>
      <c r="S112" s="5">
        <v>22.2</v>
      </c>
      <c r="T112" s="5">
        <v>30.8</v>
      </c>
      <c r="U112" s="5">
        <v>41</v>
      </c>
      <c r="V112" s="5">
        <v>6.1</v>
      </c>
      <c r="W112" s="5">
        <f t="shared" si="3"/>
        <v>47.1</v>
      </c>
      <c r="X112" s="3">
        <v>-4.1783426398979353</v>
      </c>
      <c r="Y112" t="s">
        <v>616</v>
      </c>
      <c r="Z112" s="4" t="s">
        <v>198</v>
      </c>
      <c r="AA112" t="s">
        <v>183</v>
      </c>
      <c r="AB112" t="s">
        <v>253</v>
      </c>
      <c r="AC112" t="s">
        <v>1333</v>
      </c>
      <c r="AD112" t="s">
        <v>806</v>
      </c>
      <c r="AE112" t="s">
        <v>1365</v>
      </c>
      <c r="AF112" t="s">
        <v>1378</v>
      </c>
      <c r="AG112" s="6">
        <v>0.1</v>
      </c>
      <c r="AH112" s="2">
        <v>0.02</v>
      </c>
      <c r="AI112" s="5">
        <v>5.8</v>
      </c>
      <c r="AJ112" s="5">
        <v>4.5999999999999996</v>
      </c>
      <c r="AK112" s="5" t="s">
        <v>443</v>
      </c>
      <c r="AL112" s="5">
        <v>9.5</v>
      </c>
      <c r="AM112" s="5">
        <v>13.6</v>
      </c>
      <c r="AN112" s="5">
        <v>10.88</v>
      </c>
      <c r="AO112" s="2">
        <v>43.6</v>
      </c>
      <c r="AP112" s="5" t="s">
        <v>443</v>
      </c>
      <c r="AQ112" s="5" t="s">
        <v>443</v>
      </c>
      <c r="AR112" s="2" t="s">
        <v>1370</v>
      </c>
      <c r="AS112" t="s">
        <v>1333</v>
      </c>
    </row>
    <row r="113" spans="1:45" x14ac:dyDescent="0.35">
      <c r="A113" t="s">
        <v>254</v>
      </c>
      <c r="B113" t="s">
        <v>998</v>
      </c>
      <c r="C113" t="s">
        <v>1067</v>
      </c>
      <c r="D113" s="2" t="s">
        <v>592</v>
      </c>
      <c r="E113" s="2" t="s">
        <v>1368</v>
      </c>
      <c r="F113" s="2" t="s">
        <v>718</v>
      </c>
      <c r="G113" s="3">
        <v>1766</v>
      </c>
      <c r="H113" s="3">
        <v>93</v>
      </c>
      <c r="I113" s="3">
        <v>0</v>
      </c>
      <c r="J113" s="3">
        <v>550</v>
      </c>
      <c r="K113" s="3">
        <v>1305</v>
      </c>
      <c r="L113" s="3">
        <v>2067</v>
      </c>
      <c r="M113" s="3">
        <v>1893</v>
      </c>
      <c r="N113" s="3">
        <v>291</v>
      </c>
      <c r="O113" s="5">
        <v>61.7</v>
      </c>
      <c r="P113" s="5">
        <v>1.9</v>
      </c>
      <c r="Q113" s="5">
        <v>0</v>
      </c>
      <c r="R113" s="5">
        <v>36.4</v>
      </c>
      <c r="S113" s="5">
        <v>30.5</v>
      </c>
      <c r="T113" s="5">
        <v>35.700000000000003</v>
      </c>
      <c r="U113" s="5">
        <v>25.7</v>
      </c>
      <c r="V113" s="5">
        <v>8</v>
      </c>
      <c r="W113" s="5">
        <f t="shared" si="3"/>
        <v>33.700000000000003</v>
      </c>
      <c r="X113" s="3">
        <v>1.5881080615412875</v>
      </c>
      <c r="Y113" t="s">
        <v>609</v>
      </c>
      <c r="Z113" s="4" t="s">
        <v>198</v>
      </c>
      <c r="AA113" t="s">
        <v>205</v>
      </c>
      <c r="AB113" t="s">
        <v>206</v>
      </c>
      <c r="AC113" t="s">
        <v>1332</v>
      </c>
      <c r="AD113" t="s">
        <v>805</v>
      </c>
      <c r="AE113" t="s">
        <v>1365</v>
      </c>
      <c r="AF113" t="s">
        <v>1378</v>
      </c>
      <c r="AG113" s="6">
        <v>0.3</v>
      </c>
      <c r="AH113" s="2">
        <v>0.02</v>
      </c>
      <c r="AI113" s="5">
        <v>2.6</v>
      </c>
      <c r="AJ113" s="5">
        <v>2</v>
      </c>
      <c r="AK113" s="5" t="s">
        <v>443</v>
      </c>
      <c r="AL113" s="5">
        <v>9.1</v>
      </c>
      <c r="AM113" s="5">
        <v>15.6</v>
      </c>
      <c r="AN113" s="5">
        <v>20.11</v>
      </c>
      <c r="AO113" s="2">
        <v>108.7</v>
      </c>
      <c r="AP113" s="5" t="s">
        <v>443</v>
      </c>
      <c r="AQ113" s="5" t="s">
        <v>443</v>
      </c>
      <c r="AR113" s="2" t="s">
        <v>1370</v>
      </c>
      <c r="AS113" t="s">
        <v>1332</v>
      </c>
    </row>
    <row r="114" spans="1:45" x14ac:dyDescent="0.35">
      <c r="A114" t="s">
        <v>255</v>
      </c>
      <c r="B114" t="s">
        <v>256</v>
      </c>
      <c r="C114" t="s">
        <v>972</v>
      </c>
      <c r="D114" s="2" t="s">
        <v>592</v>
      </c>
      <c r="E114" s="2" t="s">
        <v>1368</v>
      </c>
      <c r="F114" s="2" t="s">
        <v>716</v>
      </c>
      <c r="G114" s="3" t="s">
        <v>443</v>
      </c>
      <c r="H114" s="3" t="s">
        <v>443</v>
      </c>
      <c r="I114" s="3" t="s">
        <v>443</v>
      </c>
      <c r="J114" s="3" t="s">
        <v>443</v>
      </c>
      <c r="K114" s="3" t="s">
        <v>443</v>
      </c>
      <c r="L114" s="3" t="s">
        <v>443</v>
      </c>
      <c r="M114" s="3" t="s">
        <v>443</v>
      </c>
      <c r="N114" s="3" t="s">
        <v>443</v>
      </c>
      <c r="O114" s="5">
        <v>94</v>
      </c>
      <c r="P114" s="5">
        <v>2.4</v>
      </c>
      <c r="Q114" s="5">
        <v>1</v>
      </c>
      <c r="R114" s="5">
        <v>2.6</v>
      </c>
      <c r="S114" s="5">
        <v>12.6</v>
      </c>
      <c r="T114" s="5">
        <v>34.1</v>
      </c>
      <c r="U114" s="5">
        <v>51.6</v>
      </c>
      <c r="V114" s="5">
        <v>1.8</v>
      </c>
      <c r="W114" s="5">
        <f t="shared" si="3"/>
        <v>53.4</v>
      </c>
      <c r="X114" s="3" t="s">
        <v>443</v>
      </c>
      <c r="Y114" t="s">
        <v>1353</v>
      </c>
      <c r="Z114" s="4" t="s">
        <v>198</v>
      </c>
      <c r="AA114" t="s">
        <v>183</v>
      </c>
      <c r="AB114" t="s">
        <v>257</v>
      </c>
      <c r="AC114" t="s">
        <v>1333</v>
      </c>
      <c r="AD114" t="s">
        <v>804</v>
      </c>
      <c r="AE114" t="s">
        <v>1365</v>
      </c>
      <c r="AF114" t="s">
        <v>1378</v>
      </c>
      <c r="AG114" s="6">
        <v>0.05</v>
      </c>
      <c r="AH114" s="2">
        <v>0.02</v>
      </c>
      <c r="AI114" s="5">
        <v>4.4000000000000004</v>
      </c>
      <c r="AJ114" s="5">
        <v>3.5</v>
      </c>
      <c r="AK114" s="5" t="s">
        <v>443</v>
      </c>
      <c r="AL114" s="5">
        <v>9</v>
      </c>
      <c r="AM114" s="5">
        <v>13.8</v>
      </c>
      <c r="AN114" s="5">
        <v>11.3</v>
      </c>
      <c r="AO114" s="2">
        <v>130.69999999999999</v>
      </c>
      <c r="AP114" s="5" t="s">
        <v>443</v>
      </c>
      <c r="AQ114" s="5" t="s">
        <v>443</v>
      </c>
      <c r="AR114" s="2" t="s">
        <v>1370</v>
      </c>
      <c r="AS114" t="s">
        <v>1333</v>
      </c>
    </row>
    <row r="115" spans="1:45" x14ac:dyDescent="0.35">
      <c r="A115" t="s">
        <v>58</v>
      </c>
      <c r="B115" t="s">
        <v>976</v>
      </c>
      <c r="C115" t="s">
        <v>1065</v>
      </c>
      <c r="D115" s="2" t="s">
        <v>592</v>
      </c>
      <c r="E115" s="2" t="s">
        <v>1368</v>
      </c>
      <c r="F115" s="2" t="s">
        <v>718</v>
      </c>
      <c r="G115" s="3">
        <v>1567</v>
      </c>
      <c r="H115" s="3">
        <v>9</v>
      </c>
      <c r="I115" s="3">
        <v>15</v>
      </c>
      <c r="J115" s="3">
        <v>18</v>
      </c>
      <c r="K115" s="3">
        <v>1101</v>
      </c>
      <c r="L115" s="3">
        <v>280</v>
      </c>
      <c r="M115" s="3">
        <v>1314</v>
      </c>
      <c r="N115" s="3">
        <v>249</v>
      </c>
      <c r="O115" s="5">
        <v>96.5</v>
      </c>
      <c r="P115" s="5">
        <v>0.3</v>
      </c>
      <c r="Q115" s="5">
        <v>1.1000000000000001</v>
      </c>
      <c r="R115" s="5">
        <v>2.1</v>
      </c>
      <c r="S115" s="5">
        <v>46.5</v>
      </c>
      <c r="T115" s="5">
        <v>8.6999999999999993</v>
      </c>
      <c r="U115" s="5">
        <v>32.299999999999997</v>
      </c>
      <c r="V115" s="5">
        <v>12.4</v>
      </c>
      <c r="W115" s="5">
        <f t="shared" si="3"/>
        <v>44.699999999999996</v>
      </c>
      <c r="X115" s="2">
        <v>3</v>
      </c>
      <c r="Y115" t="s">
        <v>616</v>
      </c>
      <c r="Z115" s="4">
        <v>42837</v>
      </c>
      <c r="AA115" t="s">
        <v>10</v>
      </c>
      <c r="AB115" t="s">
        <v>59</v>
      </c>
      <c r="AC115" t="s">
        <v>1334</v>
      </c>
      <c r="AD115" t="s">
        <v>1121</v>
      </c>
      <c r="AE115" t="s">
        <v>1365</v>
      </c>
      <c r="AF115" t="s">
        <v>1376</v>
      </c>
      <c r="AG115" s="6">
        <v>9.2999999999999999E-2</v>
      </c>
      <c r="AH115" s="2">
        <v>0.01</v>
      </c>
      <c r="AI115" s="5">
        <v>6.4</v>
      </c>
      <c r="AJ115" s="5">
        <v>5.0999999999999996</v>
      </c>
      <c r="AK115" s="5" t="s">
        <v>443</v>
      </c>
      <c r="AL115" s="5">
        <v>9.1</v>
      </c>
      <c r="AM115" s="5">
        <v>17.899999999999999</v>
      </c>
      <c r="AN115" s="5">
        <v>11</v>
      </c>
      <c r="AO115" s="2">
        <v>319.5</v>
      </c>
      <c r="AP115" s="5" t="s">
        <v>443</v>
      </c>
      <c r="AQ115" s="2">
        <v>34.9634</v>
      </c>
      <c r="AR115" s="2" t="s">
        <v>1371</v>
      </c>
      <c r="AS115" t="s">
        <v>1334</v>
      </c>
    </row>
    <row r="116" spans="1:45" x14ac:dyDescent="0.35">
      <c r="A116" t="s">
        <v>73</v>
      </c>
      <c r="B116" t="s">
        <v>977</v>
      </c>
      <c r="C116" t="s">
        <v>972</v>
      </c>
      <c r="D116" s="2" t="s">
        <v>592</v>
      </c>
      <c r="E116" s="2" t="s">
        <v>1368</v>
      </c>
      <c r="F116" s="2" t="s">
        <v>716</v>
      </c>
      <c r="G116" s="3">
        <v>1192</v>
      </c>
      <c r="H116" s="3">
        <v>12</v>
      </c>
      <c r="I116" s="3">
        <v>15</v>
      </c>
      <c r="J116" s="3">
        <v>16</v>
      </c>
      <c r="K116" s="3">
        <v>680</v>
      </c>
      <c r="L116" s="3">
        <v>183</v>
      </c>
      <c r="M116" s="3">
        <v>1290</v>
      </c>
      <c r="N116" s="3">
        <v>296</v>
      </c>
      <c r="O116" s="5">
        <v>95.6</v>
      </c>
      <c r="P116" s="5">
        <v>0.6</v>
      </c>
      <c r="Q116" s="5">
        <v>1.4</v>
      </c>
      <c r="R116" s="5">
        <v>2.4</v>
      </c>
      <c r="S116" s="5">
        <v>35.5</v>
      </c>
      <c r="T116" s="5">
        <v>7.1</v>
      </c>
      <c r="U116" s="5">
        <v>39.1</v>
      </c>
      <c r="V116" s="5">
        <v>18.3</v>
      </c>
      <c r="W116" s="5">
        <f t="shared" si="3"/>
        <v>57.400000000000006</v>
      </c>
      <c r="X116" s="2">
        <v>0</v>
      </c>
      <c r="Y116" t="s">
        <v>616</v>
      </c>
      <c r="Z116" s="4">
        <v>42837</v>
      </c>
      <c r="AA116" t="s">
        <v>74</v>
      </c>
      <c r="AB116" t="s">
        <v>75</v>
      </c>
      <c r="AC116" t="s">
        <v>1334</v>
      </c>
      <c r="AD116" t="s">
        <v>1135</v>
      </c>
      <c r="AE116" t="s">
        <v>1365</v>
      </c>
      <c r="AF116" t="s">
        <v>1376</v>
      </c>
      <c r="AG116" s="6">
        <v>0.14499999999999999</v>
      </c>
      <c r="AH116" s="2">
        <v>0.01</v>
      </c>
      <c r="AI116" s="5">
        <v>3.2</v>
      </c>
      <c r="AJ116" s="5">
        <v>2.6</v>
      </c>
      <c r="AK116" s="5" t="s">
        <v>443</v>
      </c>
      <c r="AL116" s="5">
        <v>8.9</v>
      </c>
      <c r="AM116" s="5">
        <v>14.1</v>
      </c>
      <c r="AN116" s="5">
        <v>8.4700000000000006</v>
      </c>
      <c r="AO116" s="2">
        <v>247.2</v>
      </c>
      <c r="AP116" s="5" t="s">
        <v>443</v>
      </c>
      <c r="AQ116" s="2">
        <v>20.885400000000001</v>
      </c>
      <c r="AR116" s="2" t="s">
        <v>1371</v>
      </c>
      <c r="AS116" t="s">
        <v>1334</v>
      </c>
    </row>
    <row r="117" spans="1:45" x14ac:dyDescent="0.35">
      <c r="A117" t="s">
        <v>84</v>
      </c>
      <c r="B117" t="s">
        <v>973</v>
      </c>
      <c r="C117" t="s">
        <v>972</v>
      </c>
      <c r="D117" s="2" t="s">
        <v>592</v>
      </c>
      <c r="E117" s="2" t="s">
        <v>1368</v>
      </c>
      <c r="F117" s="2" t="s">
        <v>716</v>
      </c>
      <c r="G117" s="3">
        <v>914</v>
      </c>
      <c r="H117" s="3">
        <v>0</v>
      </c>
      <c r="I117" s="3">
        <v>8</v>
      </c>
      <c r="J117" s="3">
        <v>9</v>
      </c>
      <c r="K117" s="3">
        <v>505</v>
      </c>
      <c r="L117" s="3">
        <v>157</v>
      </c>
      <c r="M117" s="3">
        <v>1213</v>
      </c>
      <c r="N117" s="3">
        <v>73</v>
      </c>
      <c r="O117" s="5">
        <v>97.3</v>
      </c>
      <c r="P117" s="5">
        <v>0</v>
      </c>
      <c r="Q117" s="5">
        <v>0.9</v>
      </c>
      <c r="R117" s="5">
        <v>1.8</v>
      </c>
      <c r="S117" s="5">
        <v>35.799999999999997</v>
      </c>
      <c r="T117" s="5">
        <v>8.1999999999999993</v>
      </c>
      <c r="U117" s="5">
        <v>49.9</v>
      </c>
      <c r="V117" s="5">
        <v>6.1</v>
      </c>
      <c r="W117" s="5">
        <f t="shared" si="3"/>
        <v>56</v>
      </c>
      <c r="X117" s="2">
        <v>1</v>
      </c>
      <c r="Y117" t="s">
        <v>609</v>
      </c>
      <c r="Z117" s="4">
        <v>42837</v>
      </c>
      <c r="AA117" t="s">
        <v>10</v>
      </c>
      <c r="AB117" t="s">
        <v>85</v>
      </c>
      <c r="AC117" t="s">
        <v>1334</v>
      </c>
      <c r="AD117" t="s">
        <v>1158</v>
      </c>
      <c r="AE117" t="s">
        <v>1365</v>
      </c>
      <c r="AF117" t="s">
        <v>1376</v>
      </c>
      <c r="AG117" s="6">
        <v>0.44</v>
      </c>
      <c r="AH117" s="2">
        <v>0.01</v>
      </c>
      <c r="AI117" s="5">
        <v>5.2</v>
      </c>
      <c r="AJ117" s="5">
        <v>4.0999999999999996</v>
      </c>
      <c r="AK117" s="5" t="s">
        <v>443</v>
      </c>
      <c r="AL117" s="5">
        <v>8.5</v>
      </c>
      <c r="AM117" s="5">
        <v>15.9</v>
      </c>
      <c r="AN117" s="5">
        <v>6.49</v>
      </c>
      <c r="AO117" s="2">
        <v>268.39999999999998</v>
      </c>
      <c r="AP117" s="5" t="s">
        <v>443</v>
      </c>
      <c r="AQ117" s="2">
        <v>83.6</v>
      </c>
      <c r="AR117" s="2" t="s">
        <v>1371</v>
      </c>
      <c r="AS117" t="s">
        <v>1334</v>
      </c>
    </row>
    <row r="118" spans="1:45" x14ac:dyDescent="0.35">
      <c r="A118" t="s">
        <v>99</v>
      </c>
      <c r="B118" t="s">
        <v>1004</v>
      </c>
      <c r="C118" t="s">
        <v>972</v>
      </c>
      <c r="D118" s="2" t="s">
        <v>592</v>
      </c>
      <c r="E118" s="2" t="s">
        <v>1368</v>
      </c>
      <c r="F118" s="2" t="s">
        <v>716</v>
      </c>
      <c r="G118" s="3">
        <v>1145</v>
      </c>
      <c r="H118" s="3">
        <v>8</v>
      </c>
      <c r="I118" s="3">
        <v>7</v>
      </c>
      <c r="J118" s="3">
        <v>9</v>
      </c>
      <c r="K118" s="3">
        <v>592</v>
      </c>
      <c r="L118" s="3">
        <v>255</v>
      </c>
      <c r="M118" s="3">
        <v>1893</v>
      </c>
      <c r="N118" s="3">
        <v>47</v>
      </c>
      <c r="O118" s="5">
        <v>97.4</v>
      </c>
      <c r="P118" s="5">
        <v>0.4</v>
      </c>
      <c r="Q118" s="5">
        <v>0.7</v>
      </c>
      <c r="R118" s="5">
        <v>1.5</v>
      </c>
      <c r="S118" s="5">
        <v>30.6</v>
      </c>
      <c r="T118" s="5">
        <v>9.6999999999999993</v>
      </c>
      <c r="U118" s="5">
        <v>56.8</v>
      </c>
      <c r="V118" s="5">
        <v>2.9</v>
      </c>
      <c r="W118" s="5">
        <f t="shared" si="3"/>
        <v>59.699999999999996</v>
      </c>
      <c r="X118" s="3">
        <v>-3.3105330053329696</v>
      </c>
      <c r="Y118" t="s">
        <v>1352</v>
      </c>
      <c r="Z118" s="4">
        <v>42837</v>
      </c>
      <c r="AA118" t="s">
        <v>27</v>
      </c>
      <c r="AB118" t="s">
        <v>28</v>
      </c>
      <c r="AC118" t="s">
        <v>1334</v>
      </c>
      <c r="AD118" t="s">
        <v>1144</v>
      </c>
      <c r="AE118" t="s">
        <v>1365</v>
      </c>
      <c r="AF118" t="s">
        <v>1376</v>
      </c>
      <c r="AG118" s="6">
        <v>0.27500000000000002</v>
      </c>
      <c r="AH118" s="2">
        <v>0.01</v>
      </c>
      <c r="AI118" s="5">
        <v>5.0999999999999996</v>
      </c>
      <c r="AJ118" s="5">
        <v>4</v>
      </c>
      <c r="AK118" s="5" t="s">
        <v>443</v>
      </c>
      <c r="AL118" s="5">
        <v>9.3000000000000007</v>
      </c>
      <c r="AM118" s="5">
        <v>13.7</v>
      </c>
      <c r="AN118" s="5">
        <v>8.51</v>
      </c>
      <c r="AO118" s="2">
        <v>15.4</v>
      </c>
      <c r="AP118" s="5" t="s">
        <v>443</v>
      </c>
      <c r="AQ118" s="2">
        <v>32.068100000000001</v>
      </c>
      <c r="AR118" s="2" t="s">
        <v>1371</v>
      </c>
      <c r="AS118" t="s">
        <v>1334</v>
      </c>
    </row>
    <row r="119" spans="1:45" x14ac:dyDescent="0.35">
      <c r="A119" t="s">
        <v>113</v>
      </c>
      <c r="B119" t="s">
        <v>974</v>
      </c>
      <c r="C119" t="s">
        <v>972</v>
      </c>
      <c r="D119" s="2" t="s">
        <v>592</v>
      </c>
      <c r="E119" s="2" t="s">
        <v>1368</v>
      </c>
      <c r="F119" s="2" t="s">
        <v>716</v>
      </c>
      <c r="G119" s="3">
        <v>1722</v>
      </c>
      <c r="H119" s="3">
        <v>13</v>
      </c>
      <c r="I119" s="3">
        <v>15</v>
      </c>
      <c r="J119" s="3">
        <v>15</v>
      </c>
      <c r="K119" s="3">
        <v>723</v>
      </c>
      <c r="L119" s="3">
        <v>256</v>
      </c>
      <c r="M119" s="3">
        <v>2295</v>
      </c>
      <c r="N119" s="3">
        <v>429</v>
      </c>
      <c r="O119" s="5">
        <v>97</v>
      </c>
      <c r="P119" s="5">
        <v>0.4</v>
      </c>
      <c r="Q119" s="5">
        <v>1</v>
      </c>
      <c r="R119" s="5">
        <v>1.6</v>
      </c>
      <c r="S119" s="5">
        <v>26.3</v>
      </c>
      <c r="T119" s="5">
        <v>6.9</v>
      </c>
      <c r="U119" s="5">
        <v>48.4</v>
      </c>
      <c r="V119" s="5">
        <v>18.399999999999999</v>
      </c>
      <c r="W119" s="5">
        <f t="shared" si="3"/>
        <v>66.8</v>
      </c>
      <c r="X119" s="2">
        <v>0</v>
      </c>
      <c r="Y119" t="s">
        <v>616</v>
      </c>
      <c r="Z119" s="4">
        <v>42837</v>
      </c>
      <c r="AA119" t="s">
        <v>6</v>
      </c>
      <c r="AB119" t="s">
        <v>114</v>
      </c>
      <c r="AC119" t="s">
        <v>1334</v>
      </c>
      <c r="AD119" t="s">
        <v>1172</v>
      </c>
      <c r="AE119" t="s">
        <v>1365</v>
      </c>
      <c r="AF119" t="s">
        <v>1376</v>
      </c>
      <c r="AG119" s="6">
        <v>9.8000000000000004E-2</v>
      </c>
      <c r="AH119" s="2">
        <v>0.01</v>
      </c>
      <c r="AI119" s="5">
        <v>4.3</v>
      </c>
      <c r="AJ119" s="5">
        <v>3.4</v>
      </c>
      <c r="AK119" s="5" t="s">
        <v>443</v>
      </c>
      <c r="AL119" s="5">
        <v>9.1999999999999993</v>
      </c>
      <c r="AM119" s="5">
        <v>15.4</v>
      </c>
      <c r="AN119" s="5">
        <v>11.51</v>
      </c>
      <c r="AO119" s="2">
        <v>319.5</v>
      </c>
      <c r="AP119" s="5" t="s">
        <v>443</v>
      </c>
      <c r="AQ119" s="2">
        <v>23.7178</v>
      </c>
      <c r="AR119" s="2" t="s">
        <v>1371</v>
      </c>
      <c r="AS119" t="s">
        <v>1334</v>
      </c>
    </row>
    <row r="120" spans="1:45" x14ac:dyDescent="0.35">
      <c r="A120" t="s">
        <v>60</v>
      </c>
      <c r="B120" t="s">
        <v>976</v>
      </c>
      <c r="C120" t="s">
        <v>1065</v>
      </c>
      <c r="D120" s="2" t="s">
        <v>592</v>
      </c>
      <c r="E120" s="2" t="s">
        <v>1368</v>
      </c>
      <c r="F120" s="2" t="s">
        <v>718</v>
      </c>
      <c r="G120" s="3">
        <v>1567</v>
      </c>
      <c r="H120" s="3">
        <v>9</v>
      </c>
      <c r="I120" s="3">
        <v>15</v>
      </c>
      <c r="J120" s="3">
        <v>18</v>
      </c>
      <c r="K120" s="3">
        <v>1101</v>
      </c>
      <c r="L120" s="3">
        <v>280</v>
      </c>
      <c r="M120" s="3">
        <v>1314</v>
      </c>
      <c r="N120" s="3">
        <v>249</v>
      </c>
      <c r="O120" s="5">
        <v>96.5</v>
      </c>
      <c r="P120" s="5">
        <v>0.3</v>
      </c>
      <c r="Q120" s="5">
        <v>1.1000000000000001</v>
      </c>
      <c r="R120" s="5">
        <v>2.1</v>
      </c>
      <c r="S120" s="5">
        <v>46.5</v>
      </c>
      <c r="T120" s="5">
        <v>8.6999999999999993</v>
      </c>
      <c r="U120" s="5">
        <v>32.299999999999997</v>
      </c>
      <c r="V120" s="5">
        <v>12.4</v>
      </c>
      <c r="W120" s="5">
        <f t="shared" si="3"/>
        <v>44.699999999999996</v>
      </c>
      <c r="X120" s="2">
        <v>3</v>
      </c>
      <c r="Y120" t="s">
        <v>616</v>
      </c>
      <c r="Z120" s="4">
        <v>42851</v>
      </c>
      <c r="AA120" t="s">
        <v>10</v>
      </c>
      <c r="AB120" t="s">
        <v>59</v>
      </c>
      <c r="AC120" t="s">
        <v>1334</v>
      </c>
      <c r="AD120" t="s">
        <v>1122</v>
      </c>
      <c r="AE120" t="s">
        <v>1365</v>
      </c>
      <c r="AF120" t="s">
        <v>1376</v>
      </c>
      <c r="AG120" s="6">
        <v>0.14000000000000001</v>
      </c>
      <c r="AH120" s="2">
        <v>0.01</v>
      </c>
      <c r="AI120" s="5">
        <v>6.3</v>
      </c>
      <c r="AJ120" s="5">
        <v>5</v>
      </c>
      <c r="AK120" s="5" t="s">
        <v>443</v>
      </c>
      <c r="AL120" s="5">
        <v>9.4</v>
      </c>
      <c r="AM120" s="5">
        <v>15.7</v>
      </c>
      <c r="AN120" s="5">
        <v>9.0299999999999994</v>
      </c>
      <c r="AO120" s="2">
        <v>375</v>
      </c>
      <c r="AP120" s="5" t="s">
        <v>443</v>
      </c>
      <c r="AQ120" s="2">
        <v>28.249600000000001</v>
      </c>
      <c r="AR120" s="2" t="s">
        <v>1371</v>
      </c>
      <c r="AS120" t="s">
        <v>1334</v>
      </c>
    </row>
    <row r="121" spans="1:45" x14ac:dyDescent="0.35">
      <c r="A121" t="s">
        <v>76</v>
      </c>
      <c r="B121" t="s">
        <v>977</v>
      </c>
      <c r="C121" t="s">
        <v>972</v>
      </c>
      <c r="D121" s="2" t="s">
        <v>592</v>
      </c>
      <c r="E121" s="2" t="s">
        <v>1368</v>
      </c>
      <c r="F121" s="2" t="s">
        <v>716</v>
      </c>
      <c r="G121" s="3">
        <v>1192</v>
      </c>
      <c r="H121" s="3">
        <v>12</v>
      </c>
      <c r="I121" s="3">
        <v>15</v>
      </c>
      <c r="J121" s="3">
        <v>16</v>
      </c>
      <c r="K121" s="3">
        <v>680</v>
      </c>
      <c r="L121" s="3">
        <v>183</v>
      </c>
      <c r="M121" s="3">
        <v>1290</v>
      </c>
      <c r="N121" s="3">
        <v>296</v>
      </c>
      <c r="O121" s="5">
        <v>95.6</v>
      </c>
      <c r="P121" s="5">
        <v>0.6</v>
      </c>
      <c r="Q121" s="5">
        <v>1.4</v>
      </c>
      <c r="R121" s="5">
        <v>2.4</v>
      </c>
      <c r="S121" s="5">
        <v>35.5</v>
      </c>
      <c r="T121" s="5">
        <v>7.1</v>
      </c>
      <c r="U121" s="5">
        <v>39.1</v>
      </c>
      <c r="V121" s="5">
        <v>18.3</v>
      </c>
      <c r="W121" s="5">
        <f t="shared" ref="W121:W152" si="4">SUM(U121:V121)</f>
        <v>57.400000000000006</v>
      </c>
      <c r="X121" s="2">
        <v>0</v>
      </c>
      <c r="Y121" t="s">
        <v>616</v>
      </c>
      <c r="Z121" s="4">
        <v>42851</v>
      </c>
      <c r="AA121" t="s">
        <v>74</v>
      </c>
      <c r="AB121" t="s">
        <v>75</v>
      </c>
      <c r="AC121" t="s">
        <v>1334</v>
      </c>
      <c r="AD121" t="s">
        <v>1136</v>
      </c>
      <c r="AE121" t="s">
        <v>1365</v>
      </c>
      <c r="AF121" t="s">
        <v>1376</v>
      </c>
      <c r="AG121" s="6">
        <v>0.13500000000000001</v>
      </c>
      <c r="AH121" s="2">
        <v>0.01</v>
      </c>
      <c r="AI121" s="5">
        <v>3.1</v>
      </c>
      <c r="AJ121" s="5">
        <v>2.4</v>
      </c>
      <c r="AK121" s="5" t="s">
        <v>443</v>
      </c>
      <c r="AL121" s="5">
        <v>9.1999999999999993</v>
      </c>
      <c r="AM121" s="5">
        <v>16.600000000000001</v>
      </c>
      <c r="AN121" s="5">
        <v>9.9700000000000006</v>
      </c>
      <c r="AO121" s="2">
        <v>251.4</v>
      </c>
      <c r="AP121" s="5" t="s">
        <v>443</v>
      </c>
      <c r="AQ121" s="2">
        <v>19.878299999999999</v>
      </c>
      <c r="AR121" s="2" t="s">
        <v>1371</v>
      </c>
      <c r="AS121" t="s">
        <v>1334</v>
      </c>
    </row>
    <row r="122" spans="1:45" x14ac:dyDescent="0.35">
      <c r="A122" t="s">
        <v>86</v>
      </c>
      <c r="B122" t="s">
        <v>973</v>
      </c>
      <c r="C122" t="s">
        <v>972</v>
      </c>
      <c r="D122" s="2" t="s">
        <v>592</v>
      </c>
      <c r="E122" s="2" t="s">
        <v>1368</v>
      </c>
      <c r="F122" s="2" t="s">
        <v>716</v>
      </c>
      <c r="G122" s="3">
        <v>914</v>
      </c>
      <c r="H122" s="3">
        <v>0</v>
      </c>
      <c r="I122" s="3">
        <v>8</v>
      </c>
      <c r="J122" s="3">
        <v>9</v>
      </c>
      <c r="K122" s="3">
        <v>505</v>
      </c>
      <c r="L122" s="3">
        <v>157</v>
      </c>
      <c r="M122" s="3">
        <v>1213</v>
      </c>
      <c r="N122" s="3">
        <v>73</v>
      </c>
      <c r="O122" s="5">
        <v>97.3</v>
      </c>
      <c r="P122" s="5">
        <v>0</v>
      </c>
      <c r="Q122" s="5">
        <v>0.9</v>
      </c>
      <c r="R122" s="5">
        <v>1.8</v>
      </c>
      <c r="S122" s="5">
        <v>35.799999999999997</v>
      </c>
      <c r="T122" s="5">
        <v>8.1999999999999993</v>
      </c>
      <c r="U122" s="5">
        <v>49.9</v>
      </c>
      <c r="V122" s="5">
        <v>6.1</v>
      </c>
      <c r="W122" s="5">
        <f t="shared" si="4"/>
        <v>56</v>
      </c>
      <c r="X122" s="2">
        <v>1</v>
      </c>
      <c r="Y122" t="s">
        <v>609</v>
      </c>
      <c r="Z122" s="4">
        <v>42851</v>
      </c>
      <c r="AA122" t="s">
        <v>10</v>
      </c>
      <c r="AB122" t="s">
        <v>85</v>
      </c>
      <c r="AC122" t="s">
        <v>1334</v>
      </c>
      <c r="AD122" t="s">
        <v>1159</v>
      </c>
      <c r="AE122" t="s">
        <v>1365</v>
      </c>
      <c r="AF122" t="s">
        <v>1376</v>
      </c>
      <c r="AG122" s="6">
        <v>0.4</v>
      </c>
      <c r="AH122" s="2">
        <v>0.01</v>
      </c>
      <c r="AI122" s="5">
        <v>5.2</v>
      </c>
      <c r="AJ122" s="5">
        <v>4.0999999999999996</v>
      </c>
      <c r="AK122" s="5" t="s">
        <v>443</v>
      </c>
      <c r="AL122" s="5">
        <v>8.9</v>
      </c>
      <c r="AM122" s="5">
        <v>16.2</v>
      </c>
      <c r="AN122" s="5">
        <v>6.89</v>
      </c>
      <c r="AO122" s="2">
        <v>264.2</v>
      </c>
      <c r="AP122" s="5" t="s">
        <v>443</v>
      </c>
      <c r="AQ122" s="2">
        <v>87.897499999999994</v>
      </c>
      <c r="AR122" s="2" t="s">
        <v>1371</v>
      </c>
      <c r="AS122" t="s">
        <v>1334</v>
      </c>
    </row>
    <row r="123" spans="1:45" x14ac:dyDescent="0.35">
      <c r="A123" t="s">
        <v>100</v>
      </c>
      <c r="B123" t="s">
        <v>1004</v>
      </c>
      <c r="C123" t="s">
        <v>972</v>
      </c>
      <c r="D123" s="2" t="s">
        <v>592</v>
      </c>
      <c r="E123" s="2" t="s">
        <v>1368</v>
      </c>
      <c r="F123" s="2" t="s">
        <v>716</v>
      </c>
      <c r="G123" s="3">
        <v>1145</v>
      </c>
      <c r="H123" s="3">
        <v>8</v>
      </c>
      <c r="I123" s="3">
        <v>7</v>
      </c>
      <c r="J123" s="3">
        <v>9</v>
      </c>
      <c r="K123" s="3">
        <v>592</v>
      </c>
      <c r="L123" s="3">
        <v>255</v>
      </c>
      <c r="M123" s="3">
        <v>1893</v>
      </c>
      <c r="N123" s="3">
        <v>47</v>
      </c>
      <c r="O123" s="5">
        <v>97.4</v>
      </c>
      <c r="P123" s="5">
        <v>0.4</v>
      </c>
      <c r="Q123" s="5">
        <v>0.7</v>
      </c>
      <c r="R123" s="5">
        <v>1.5</v>
      </c>
      <c r="S123" s="5">
        <v>30.6</v>
      </c>
      <c r="T123" s="5">
        <v>9.6999999999999993</v>
      </c>
      <c r="U123" s="5">
        <v>56.8</v>
      </c>
      <c r="V123" s="5">
        <v>2.9</v>
      </c>
      <c r="W123" s="5">
        <f t="shared" si="4"/>
        <v>59.699999999999996</v>
      </c>
      <c r="X123" s="3">
        <v>-3.3105330053329696</v>
      </c>
      <c r="Y123" t="s">
        <v>1352</v>
      </c>
      <c r="Z123" s="4">
        <v>42851</v>
      </c>
      <c r="AA123" t="s">
        <v>27</v>
      </c>
      <c r="AB123" t="s">
        <v>28</v>
      </c>
      <c r="AC123" t="s">
        <v>1334</v>
      </c>
      <c r="AD123" t="s">
        <v>1145</v>
      </c>
      <c r="AE123" t="s">
        <v>1365</v>
      </c>
      <c r="AF123" t="s">
        <v>1376</v>
      </c>
      <c r="AG123" s="6">
        <v>0.245</v>
      </c>
      <c r="AH123" s="2">
        <v>0.01</v>
      </c>
      <c r="AI123" s="5">
        <v>4.9000000000000004</v>
      </c>
      <c r="AJ123" s="5">
        <v>4</v>
      </c>
      <c r="AK123" s="5" t="s">
        <v>443</v>
      </c>
      <c r="AL123" s="5">
        <v>9.4</v>
      </c>
      <c r="AM123" s="5">
        <v>15.2</v>
      </c>
      <c r="AN123" s="5">
        <v>9.73</v>
      </c>
      <c r="AO123" s="2">
        <v>2.9</v>
      </c>
      <c r="AP123" s="5" t="s">
        <v>443</v>
      </c>
      <c r="AQ123" s="2">
        <v>31.04</v>
      </c>
      <c r="AR123" s="2" t="s">
        <v>1371</v>
      </c>
      <c r="AS123" t="s">
        <v>1334</v>
      </c>
    </row>
    <row r="124" spans="1:45" x14ac:dyDescent="0.35">
      <c r="A124" t="s">
        <v>115</v>
      </c>
      <c r="B124" t="s">
        <v>974</v>
      </c>
      <c r="C124" t="s">
        <v>972</v>
      </c>
      <c r="D124" s="2" t="s">
        <v>592</v>
      </c>
      <c r="E124" s="2" t="s">
        <v>1368</v>
      </c>
      <c r="F124" s="2" t="s">
        <v>716</v>
      </c>
      <c r="G124" s="3">
        <v>1722</v>
      </c>
      <c r="H124" s="3">
        <v>13</v>
      </c>
      <c r="I124" s="3">
        <v>15</v>
      </c>
      <c r="J124" s="3">
        <v>15</v>
      </c>
      <c r="K124" s="3">
        <v>723</v>
      </c>
      <c r="L124" s="3">
        <v>256</v>
      </c>
      <c r="M124" s="3">
        <v>2295</v>
      </c>
      <c r="N124" s="3">
        <v>429</v>
      </c>
      <c r="O124" s="5">
        <v>97</v>
      </c>
      <c r="P124" s="5">
        <v>0.4</v>
      </c>
      <c r="Q124" s="5">
        <v>1</v>
      </c>
      <c r="R124" s="5">
        <v>1.6</v>
      </c>
      <c r="S124" s="5">
        <v>26.3</v>
      </c>
      <c r="T124" s="5">
        <v>6.9</v>
      </c>
      <c r="U124" s="5">
        <v>48.4</v>
      </c>
      <c r="V124" s="5">
        <v>18.399999999999999</v>
      </c>
      <c r="W124" s="5">
        <f t="shared" si="4"/>
        <v>66.8</v>
      </c>
      <c r="X124" s="2">
        <v>0</v>
      </c>
      <c r="Y124" t="s">
        <v>616</v>
      </c>
      <c r="Z124" s="4">
        <v>42851</v>
      </c>
      <c r="AA124" t="s">
        <v>6</v>
      </c>
      <c r="AB124" t="s">
        <v>114</v>
      </c>
      <c r="AC124" t="s">
        <v>1334</v>
      </c>
      <c r="AD124" t="s">
        <v>1173</v>
      </c>
      <c r="AE124" t="s">
        <v>1365</v>
      </c>
      <c r="AF124" t="s">
        <v>1376</v>
      </c>
      <c r="AG124" s="6">
        <v>0.26</v>
      </c>
      <c r="AH124" s="2">
        <v>0.01</v>
      </c>
      <c r="AI124" s="5">
        <v>4.3</v>
      </c>
      <c r="AJ124" s="5">
        <v>3.4</v>
      </c>
      <c r="AK124" s="5" t="s">
        <v>443</v>
      </c>
      <c r="AL124" s="5">
        <v>9.6</v>
      </c>
      <c r="AM124" s="5">
        <v>15.3</v>
      </c>
      <c r="AN124" s="5">
        <v>9.2200000000000006</v>
      </c>
      <c r="AO124" s="2">
        <v>323.8</v>
      </c>
      <c r="AP124" s="5" t="s">
        <v>443</v>
      </c>
      <c r="AQ124" s="2">
        <v>27.137599999999999</v>
      </c>
      <c r="AR124" s="2" t="s">
        <v>1371</v>
      </c>
      <c r="AS124" t="s">
        <v>1334</v>
      </c>
    </row>
    <row r="125" spans="1:45" x14ac:dyDescent="0.35">
      <c r="A125" t="s">
        <v>61</v>
      </c>
      <c r="B125" t="s">
        <v>976</v>
      </c>
      <c r="C125" t="s">
        <v>1065</v>
      </c>
      <c r="D125" s="2" t="s">
        <v>592</v>
      </c>
      <c r="E125" s="2" t="s">
        <v>1368</v>
      </c>
      <c r="F125" s="2" t="s">
        <v>718</v>
      </c>
      <c r="G125" s="3">
        <v>1567</v>
      </c>
      <c r="H125" s="3">
        <v>9</v>
      </c>
      <c r="I125" s="3">
        <v>15</v>
      </c>
      <c r="J125" s="3">
        <v>18</v>
      </c>
      <c r="K125" s="3">
        <v>1101</v>
      </c>
      <c r="L125" s="3">
        <v>280</v>
      </c>
      <c r="M125" s="3">
        <v>1314</v>
      </c>
      <c r="N125" s="3">
        <v>249</v>
      </c>
      <c r="O125" s="5">
        <v>96.5</v>
      </c>
      <c r="P125" s="5">
        <v>0.3</v>
      </c>
      <c r="Q125" s="5">
        <v>1.1000000000000001</v>
      </c>
      <c r="R125" s="5">
        <v>2.1</v>
      </c>
      <c r="S125" s="5">
        <v>46.5</v>
      </c>
      <c r="T125" s="5">
        <v>8.6999999999999993</v>
      </c>
      <c r="U125" s="5">
        <v>32.299999999999997</v>
      </c>
      <c r="V125" s="5">
        <v>12.4</v>
      </c>
      <c r="W125" s="5">
        <f t="shared" si="4"/>
        <v>44.699999999999996</v>
      </c>
      <c r="X125" s="2">
        <v>3</v>
      </c>
      <c r="Y125" t="s">
        <v>616</v>
      </c>
      <c r="Z125" s="4">
        <v>42872</v>
      </c>
      <c r="AA125" t="s">
        <v>10</v>
      </c>
      <c r="AB125" t="s">
        <v>59</v>
      </c>
      <c r="AC125" t="s">
        <v>1334</v>
      </c>
      <c r="AD125" t="s">
        <v>1123</v>
      </c>
      <c r="AE125" t="s">
        <v>1365</v>
      </c>
      <c r="AF125" t="s">
        <v>1376</v>
      </c>
      <c r="AG125" s="6">
        <v>0.09</v>
      </c>
      <c r="AH125" s="2">
        <v>0.01</v>
      </c>
      <c r="AI125" s="5">
        <v>6.6</v>
      </c>
      <c r="AJ125" s="5">
        <v>5.3</v>
      </c>
      <c r="AK125" s="5" t="s">
        <v>443</v>
      </c>
      <c r="AL125" s="5">
        <v>9.1999999999999993</v>
      </c>
      <c r="AM125" s="5">
        <v>26.3</v>
      </c>
      <c r="AN125" s="5">
        <v>10</v>
      </c>
      <c r="AO125" s="2">
        <v>238.5</v>
      </c>
      <c r="AP125" s="5" t="s">
        <v>443</v>
      </c>
      <c r="AQ125" s="2">
        <v>29.844100000000001</v>
      </c>
      <c r="AR125" s="2" t="s">
        <v>1371</v>
      </c>
      <c r="AS125" t="s">
        <v>1334</v>
      </c>
    </row>
    <row r="126" spans="1:45" x14ac:dyDescent="0.35">
      <c r="A126" t="s">
        <v>77</v>
      </c>
      <c r="B126" t="s">
        <v>977</v>
      </c>
      <c r="C126" t="s">
        <v>972</v>
      </c>
      <c r="D126" s="2" t="s">
        <v>592</v>
      </c>
      <c r="E126" s="2" t="s">
        <v>1368</v>
      </c>
      <c r="F126" s="2" t="s">
        <v>716</v>
      </c>
      <c r="G126" s="3">
        <v>1192</v>
      </c>
      <c r="H126" s="3">
        <v>12</v>
      </c>
      <c r="I126" s="3">
        <v>15</v>
      </c>
      <c r="J126" s="3">
        <v>16</v>
      </c>
      <c r="K126" s="3">
        <v>680</v>
      </c>
      <c r="L126" s="3">
        <v>183</v>
      </c>
      <c r="M126" s="3">
        <v>1290</v>
      </c>
      <c r="N126" s="3">
        <v>296</v>
      </c>
      <c r="O126" s="5">
        <v>95.6</v>
      </c>
      <c r="P126" s="5">
        <v>0.6</v>
      </c>
      <c r="Q126" s="5">
        <v>1.4</v>
      </c>
      <c r="R126" s="5">
        <v>2.4</v>
      </c>
      <c r="S126" s="5">
        <v>35.5</v>
      </c>
      <c r="T126" s="5">
        <v>7.1</v>
      </c>
      <c r="U126" s="5">
        <v>39.1</v>
      </c>
      <c r="V126" s="5">
        <v>18.3</v>
      </c>
      <c r="W126" s="5">
        <f t="shared" si="4"/>
        <v>57.400000000000006</v>
      </c>
      <c r="X126" s="2">
        <v>0</v>
      </c>
      <c r="Y126" t="s">
        <v>616</v>
      </c>
      <c r="Z126" s="4">
        <v>42872</v>
      </c>
      <c r="AA126" t="s">
        <v>74</v>
      </c>
      <c r="AB126" t="s">
        <v>75</v>
      </c>
      <c r="AC126" t="s">
        <v>1334</v>
      </c>
      <c r="AD126" t="s">
        <v>1137</v>
      </c>
      <c r="AE126" t="s">
        <v>1365</v>
      </c>
      <c r="AF126" t="s">
        <v>1376</v>
      </c>
      <c r="AG126" s="6">
        <v>0.17</v>
      </c>
      <c r="AH126" s="2">
        <v>0.01</v>
      </c>
      <c r="AI126" s="5">
        <v>3.1</v>
      </c>
      <c r="AJ126" s="5">
        <v>2.4</v>
      </c>
      <c r="AK126" s="5" t="s">
        <v>443</v>
      </c>
      <c r="AL126" s="5">
        <v>9.1999999999999993</v>
      </c>
      <c r="AM126" s="5">
        <v>22.5</v>
      </c>
      <c r="AN126" s="5">
        <v>9.1</v>
      </c>
      <c r="AO126" s="2">
        <v>541.70000000000005</v>
      </c>
      <c r="AP126" s="5" t="s">
        <v>443</v>
      </c>
      <c r="AQ126" s="2">
        <v>20.172000000000001</v>
      </c>
      <c r="AR126" s="2" t="s">
        <v>1371</v>
      </c>
      <c r="AS126" t="s">
        <v>1334</v>
      </c>
    </row>
    <row r="127" spans="1:45" x14ac:dyDescent="0.35">
      <c r="A127" t="s">
        <v>87</v>
      </c>
      <c r="B127" t="s">
        <v>973</v>
      </c>
      <c r="C127" t="s">
        <v>972</v>
      </c>
      <c r="D127" s="2" t="s">
        <v>592</v>
      </c>
      <c r="E127" s="2" t="s">
        <v>1368</v>
      </c>
      <c r="F127" s="2" t="s">
        <v>716</v>
      </c>
      <c r="G127" s="3">
        <v>914</v>
      </c>
      <c r="H127" s="3">
        <v>0</v>
      </c>
      <c r="I127" s="3">
        <v>8</v>
      </c>
      <c r="J127" s="3">
        <v>9</v>
      </c>
      <c r="K127" s="3">
        <v>505</v>
      </c>
      <c r="L127" s="3">
        <v>157</v>
      </c>
      <c r="M127" s="3">
        <v>1213</v>
      </c>
      <c r="N127" s="3">
        <v>73</v>
      </c>
      <c r="O127" s="5">
        <v>97.3</v>
      </c>
      <c r="P127" s="5">
        <v>0</v>
      </c>
      <c r="Q127" s="5">
        <v>0.9</v>
      </c>
      <c r="R127" s="5">
        <v>1.8</v>
      </c>
      <c r="S127" s="5">
        <v>35.799999999999997</v>
      </c>
      <c r="T127" s="5">
        <v>8.1999999999999993</v>
      </c>
      <c r="U127" s="5">
        <v>49.9</v>
      </c>
      <c r="V127" s="5">
        <v>6.1</v>
      </c>
      <c r="W127" s="5">
        <f t="shared" si="4"/>
        <v>56</v>
      </c>
      <c r="X127" s="2">
        <v>1</v>
      </c>
      <c r="Y127" t="s">
        <v>609</v>
      </c>
      <c r="Z127" s="4">
        <v>42872</v>
      </c>
      <c r="AA127" t="s">
        <v>10</v>
      </c>
      <c r="AB127" t="s">
        <v>85</v>
      </c>
      <c r="AC127" t="s">
        <v>1334</v>
      </c>
      <c r="AD127" t="s">
        <v>1160</v>
      </c>
      <c r="AE127" t="s">
        <v>1365</v>
      </c>
      <c r="AF127" t="s">
        <v>1376</v>
      </c>
      <c r="AG127" s="6">
        <v>0.42</v>
      </c>
      <c r="AH127" s="2">
        <v>0.01</v>
      </c>
      <c r="AI127" s="5">
        <v>5.0999999999999996</v>
      </c>
      <c r="AJ127" s="5">
        <v>4.0999999999999996</v>
      </c>
      <c r="AK127" s="5" t="s">
        <v>443</v>
      </c>
      <c r="AL127" s="5">
        <v>8.6999999999999993</v>
      </c>
      <c r="AM127" s="5">
        <v>24</v>
      </c>
      <c r="AN127" s="5">
        <v>3.95</v>
      </c>
      <c r="AO127" s="2">
        <v>117.1</v>
      </c>
      <c r="AP127" s="5" t="s">
        <v>443</v>
      </c>
      <c r="AQ127" s="2">
        <v>83.827299999999994</v>
      </c>
      <c r="AR127" s="2" t="s">
        <v>1371</v>
      </c>
      <c r="AS127" t="s">
        <v>1334</v>
      </c>
    </row>
    <row r="128" spans="1:45" x14ac:dyDescent="0.35">
      <c r="A128" t="s">
        <v>101</v>
      </c>
      <c r="B128" t="s">
        <v>1004</v>
      </c>
      <c r="C128" t="s">
        <v>972</v>
      </c>
      <c r="D128" s="2" t="s">
        <v>592</v>
      </c>
      <c r="E128" s="2" t="s">
        <v>1368</v>
      </c>
      <c r="F128" s="2" t="s">
        <v>716</v>
      </c>
      <c r="G128" s="3">
        <v>1145</v>
      </c>
      <c r="H128" s="3">
        <v>8</v>
      </c>
      <c r="I128" s="3">
        <v>7</v>
      </c>
      <c r="J128" s="3">
        <v>9</v>
      </c>
      <c r="K128" s="3">
        <v>592</v>
      </c>
      <c r="L128" s="3">
        <v>255</v>
      </c>
      <c r="M128" s="3">
        <v>1893</v>
      </c>
      <c r="N128" s="3">
        <v>47</v>
      </c>
      <c r="O128" s="5">
        <v>97.4</v>
      </c>
      <c r="P128" s="5">
        <v>0.4</v>
      </c>
      <c r="Q128" s="5">
        <v>0.7</v>
      </c>
      <c r="R128" s="5">
        <v>1.5</v>
      </c>
      <c r="S128" s="5">
        <v>30.6</v>
      </c>
      <c r="T128" s="5">
        <v>9.6999999999999993</v>
      </c>
      <c r="U128" s="5">
        <v>56.8</v>
      </c>
      <c r="V128" s="5">
        <v>2.9</v>
      </c>
      <c r="W128" s="5">
        <f t="shared" si="4"/>
        <v>59.699999999999996</v>
      </c>
      <c r="X128" s="3">
        <v>-3.31053300533297</v>
      </c>
      <c r="Y128" t="s">
        <v>1352</v>
      </c>
      <c r="Z128" s="4">
        <v>42872</v>
      </c>
      <c r="AA128" t="s">
        <v>27</v>
      </c>
      <c r="AB128" t="s">
        <v>28</v>
      </c>
      <c r="AC128" t="s">
        <v>1334</v>
      </c>
      <c r="AD128" t="s">
        <v>1146</v>
      </c>
      <c r="AE128" t="s">
        <v>1365</v>
      </c>
      <c r="AF128" t="s">
        <v>1376</v>
      </c>
      <c r="AG128" s="6">
        <v>0.27</v>
      </c>
      <c r="AH128" s="2">
        <v>0.01</v>
      </c>
      <c r="AI128" s="5">
        <v>5</v>
      </c>
      <c r="AJ128" s="5">
        <v>4</v>
      </c>
      <c r="AK128" s="5" t="s">
        <v>443</v>
      </c>
      <c r="AL128" s="5">
        <v>9.4</v>
      </c>
      <c r="AM128" s="5">
        <v>21.2</v>
      </c>
      <c r="AN128" s="5">
        <v>8.1999999999999993</v>
      </c>
      <c r="AO128" s="2">
        <v>1.8</v>
      </c>
      <c r="AP128" s="5" t="s">
        <v>443</v>
      </c>
      <c r="AQ128" s="2">
        <v>34.858499999999999</v>
      </c>
      <c r="AR128" s="2" t="s">
        <v>1371</v>
      </c>
      <c r="AS128" t="s">
        <v>1334</v>
      </c>
    </row>
    <row r="129" spans="1:45" x14ac:dyDescent="0.35">
      <c r="A129" t="s">
        <v>116</v>
      </c>
      <c r="B129" t="s">
        <v>974</v>
      </c>
      <c r="C129" t="s">
        <v>972</v>
      </c>
      <c r="D129" s="2" t="s">
        <v>592</v>
      </c>
      <c r="E129" s="2" t="s">
        <v>1368</v>
      </c>
      <c r="F129" s="2" t="s">
        <v>716</v>
      </c>
      <c r="G129" s="3">
        <v>1722</v>
      </c>
      <c r="H129" s="3">
        <v>13</v>
      </c>
      <c r="I129" s="3">
        <v>15</v>
      </c>
      <c r="J129" s="3">
        <v>15</v>
      </c>
      <c r="K129" s="3">
        <v>723</v>
      </c>
      <c r="L129" s="3">
        <v>256</v>
      </c>
      <c r="M129" s="3">
        <v>2295</v>
      </c>
      <c r="N129" s="3">
        <v>429</v>
      </c>
      <c r="O129" s="5">
        <v>97</v>
      </c>
      <c r="P129" s="5">
        <v>0.4</v>
      </c>
      <c r="Q129" s="5">
        <v>1</v>
      </c>
      <c r="R129" s="5">
        <v>1.6</v>
      </c>
      <c r="S129" s="5">
        <v>26.3</v>
      </c>
      <c r="T129" s="5">
        <v>6.9</v>
      </c>
      <c r="U129" s="5">
        <v>48.4</v>
      </c>
      <c r="V129" s="5">
        <v>18.399999999999999</v>
      </c>
      <c r="W129" s="5">
        <f t="shared" si="4"/>
        <v>66.8</v>
      </c>
      <c r="X129" s="2">
        <v>0</v>
      </c>
      <c r="Y129" t="s">
        <v>616</v>
      </c>
      <c r="Z129" s="4">
        <v>42872</v>
      </c>
      <c r="AA129" t="s">
        <v>6</v>
      </c>
      <c r="AB129" t="s">
        <v>114</v>
      </c>
      <c r="AC129" t="s">
        <v>1334</v>
      </c>
      <c r="AD129" t="s">
        <v>1174</v>
      </c>
      <c r="AE129" t="s">
        <v>1365</v>
      </c>
      <c r="AF129" t="s">
        <v>1376</v>
      </c>
      <c r="AG129" s="6">
        <v>0.15</v>
      </c>
      <c r="AH129" s="2">
        <v>0.01</v>
      </c>
      <c r="AI129" s="5">
        <v>4.2</v>
      </c>
      <c r="AJ129" s="5">
        <v>3.4</v>
      </c>
      <c r="AK129" s="5" t="s">
        <v>443</v>
      </c>
      <c r="AL129" s="5">
        <v>9.4</v>
      </c>
      <c r="AM129" s="5">
        <v>23.7</v>
      </c>
      <c r="AN129" s="5">
        <v>9.8699999999999992</v>
      </c>
      <c r="AO129" s="2">
        <v>204.5</v>
      </c>
      <c r="AP129" s="5" t="s">
        <v>443</v>
      </c>
      <c r="AQ129" s="2">
        <v>26.0047</v>
      </c>
      <c r="AR129" s="2" t="s">
        <v>1371</v>
      </c>
      <c r="AS129" t="s">
        <v>1334</v>
      </c>
    </row>
    <row r="130" spans="1:45" x14ac:dyDescent="0.35">
      <c r="A130" t="s">
        <v>62</v>
      </c>
      <c r="B130" t="s">
        <v>976</v>
      </c>
      <c r="C130" t="s">
        <v>1065</v>
      </c>
      <c r="D130" s="2" t="s">
        <v>592</v>
      </c>
      <c r="E130" s="2" t="s">
        <v>1368</v>
      </c>
      <c r="F130" s="2" t="s">
        <v>718</v>
      </c>
      <c r="G130" s="3">
        <v>1567</v>
      </c>
      <c r="H130" s="3">
        <v>9</v>
      </c>
      <c r="I130" s="3">
        <v>15</v>
      </c>
      <c r="J130" s="3">
        <v>18</v>
      </c>
      <c r="K130" s="3">
        <v>1101</v>
      </c>
      <c r="L130" s="3">
        <v>280</v>
      </c>
      <c r="M130" s="3">
        <v>1314</v>
      </c>
      <c r="N130" s="3">
        <v>249</v>
      </c>
      <c r="O130" s="5">
        <v>96.5</v>
      </c>
      <c r="P130" s="5">
        <v>0.3</v>
      </c>
      <c r="Q130" s="5">
        <v>1.1000000000000001</v>
      </c>
      <c r="R130" s="5">
        <v>2.1</v>
      </c>
      <c r="S130" s="5">
        <v>46.5</v>
      </c>
      <c r="T130" s="5">
        <v>8.6999999999999993</v>
      </c>
      <c r="U130" s="5">
        <v>32.299999999999997</v>
      </c>
      <c r="V130" s="5">
        <v>12.4</v>
      </c>
      <c r="W130" s="5">
        <f t="shared" si="4"/>
        <v>44.699999999999996</v>
      </c>
      <c r="X130" s="2">
        <v>3</v>
      </c>
      <c r="Y130" t="s">
        <v>616</v>
      </c>
      <c r="Z130" s="4">
        <v>42884</v>
      </c>
      <c r="AA130" t="s">
        <v>10</v>
      </c>
      <c r="AB130" t="s">
        <v>59</v>
      </c>
      <c r="AC130" t="s">
        <v>1334</v>
      </c>
      <c r="AD130" t="s">
        <v>1124</v>
      </c>
      <c r="AE130" t="s">
        <v>1365</v>
      </c>
      <c r="AF130" t="s">
        <v>1376</v>
      </c>
      <c r="AG130" s="6">
        <v>4.4999999999999998E-2</v>
      </c>
      <c r="AH130" s="2">
        <v>0.01</v>
      </c>
      <c r="AI130" s="5">
        <v>8.1</v>
      </c>
      <c r="AJ130" s="5">
        <v>6.5</v>
      </c>
      <c r="AK130" s="5" t="s">
        <v>443</v>
      </c>
      <c r="AL130" s="5">
        <v>9.5</v>
      </c>
      <c r="AM130" s="5">
        <v>25.2</v>
      </c>
      <c r="AN130" s="5">
        <v>8.41</v>
      </c>
      <c r="AO130" s="2">
        <v>105.1</v>
      </c>
      <c r="AP130" s="5" t="s">
        <v>443</v>
      </c>
      <c r="AQ130" s="2">
        <v>37.040500000000002</v>
      </c>
      <c r="AR130" s="2" t="s">
        <v>1371</v>
      </c>
      <c r="AS130" t="s">
        <v>1334</v>
      </c>
    </row>
    <row r="131" spans="1:45" x14ac:dyDescent="0.35">
      <c r="A131" t="s">
        <v>78</v>
      </c>
      <c r="B131" t="s">
        <v>977</v>
      </c>
      <c r="C131" t="s">
        <v>972</v>
      </c>
      <c r="D131" s="2" t="s">
        <v>592</v>
      </c>
      <c r="E131" s="2" t="s">
        <v>1368</v>
      </c>
      <c r="F131" s="2" t="s">
        <v>716</v>
      </c>
      <c r="G131" s="3">
        <v>1192</v>
      </c>
      <c r="H131" s="3">
        <v>12</v>
      </c>
      <c r="I131" s="3">
        <v>15</v>
      </c>
      <c r="J131" s="3">
        <v>16</v>
      </c>
      <c r="K131" s="3">
        <v>680</v>
      </c>
      <c r="L131" s="3">
        <v>183</v>
      </c>
      <c r="M131" s="3">
        <v>1290</v>
      </c>
      <c r="N131" s="3">
        <v>296</v>
      </c>
      <c r="O131" s="5">
        <v>95.6</v>
      </c>
      <c r="P131" s="5">
        <v>0.6</v>
      </c>
      <c r="Q131" s="5">
        <v>1.4</v>
      </c>
      <c r="R131" s="5">
        <v>2.4</v>
      </c>
      <c r="S131" s="5">
        <v>35.5</v>
      </c>
      <c r="T131" s="5">
        <v>7.1</v>
      </c>
      <c r="U131" s="5">
        <v>39.1</v>
      </c>
      <c r="V131" s="5">
        <v>18.3</v>
      </c>
      <c r="W131" s="5">
        <f t="shared" si="4"/>
        <v>57.400000000000006</v>
      </c>
      <c r="X131" s="2">
        <v>0</v>
      </c>
      <c r="Y131" t="s">
        <v>616</v>
      </c>
      <c r="Z131" s="4">
        <v>42884</v>
      </c>
      <c r="AA131" t="s">
        <v>74</v>
      </c>
      <c r="AB131" t="s">
        <v>75</v>
      </c>
      <c r="AC131" t="s">
        <v>1334</v>
      </c>
      <c r="AD131" t="s">
        <v>1138</v>
      </c>
      <c r="AE131" t="s">
        <v>1365</v>
      </c>
      <c r="AF131" t="s">
        <v>1376</v>
      </c>
      <c r="AG131" s="6">
        <v>0.13</v>
      </c>
      <c r="AH131" s="2">
        <v>0.01</v>
      </c>
      <c r="AI131" s="5">
        <v>4</v>
      </c>
      <c r="AJ131" s="5">
        <v>3.2</v>
      </c>
      <c r="AK131" s="5" t="s">
        <v>443</v>
      </c>
      <c r="AL131" s="5">
        <v>9.1</v>
      </c>
      <c r="AM131" s="5">
        <v>27.8</v>
      </c>
      <c r="AN131" s="5">
        <v>7.08</v>
      </c>
      <c r="AO131" s="2">
        <v>89.5</v>
      </c>
      <c r="AP131" s="5" t="s">
        <v>443</v>
      </c>
      <c r="AQ131" s="2">
        <v>32.256900000000002</v>
      </c>
      <c r="AR131" s="2" t="s">
        <v>1371</v>
      </c>
      <c r="AS131" t="s">
        <v>1334</v>
      </c>
    </row>
    <row r="132" spans="1:45" x14ac:dyDescent="0.35">
      <c r="A132" t="s">
        <v>88</v>
      </c>
      <c r="B132" t="s">
        <v>973</v>
      </c>
      <c r="C132" t="s">
        <v>972</v>
      </c>
      <c r="D132" s="2" t="s">
        <v>592</v>
      </c>
      <c r="E132" s="2" t="s">
        <v>1368</v>
      </c>
      <c r="F132" s="2" t="s">
        <v>716</v>
      </c>
      <c r="G132" s="3">
        <v>914</v>
      </c>
      <c r="H132" s="3">
        <v>0</v>
      </c>
      <c r="I132" s="3">
        <v>8</v>
      </c>
      <c r="J132" s="3">
        <v>9</v>
      </c>
      <c r="K132" s="3">
        <v>505</v>
      </c>
      <c r="L132" s="3">
        <v>157</v>
      </c>
      <c r="M132" s="3">
        <v>1213</v>
      </c>
      <c r="N132" s="3">
        <v>73</v>
      </c>
      <c r="O132" s="5">
        <v>97.3</v>
      </c>
      <c r="P132" s="5">
        <v>0</v>
      </c>
      <c r="Q132" s="5">
        <v>0.9</v>
      </c>
      <c r="R132" s="5">
        <v>1.8</v>
      </c>
      <c r="S132" s="5">
        <v>35.799999999999997</v>
      </c>
      <c r="T132" s="5">
        <v>8.1999999999999993</v>
      </c>
      <c r="U132" s="5">
        <v>49.9</v>
      </c>
      <c r="V132" s="5">
        <v>6.1</v>
      </c>
      <c r="W132" s="5">
        <f t="shared" si="4"/>
        <v>56</v>
      </c>
      <c r="X132" s="2">
        <v>1</v>
      </c>
      <c r="Y132" t="s">
        <v>609</v>
      </c>
      <c r="Z132" s="4">
        <v>42884</v>
      </c>
      <c r="AA132" t="s">
        <v>10</v>
      </c>
      <c r="AB132" t="s">
        <v>85</v>
      </c>
      <c r="AC132" t="s">
        <v>1334</v>
      </c>
      <c r="AD132" t="s">
        <v>1161</v>
      </c>
      <c r="AE132" t="s">
        <v>1365</v>
      </c>
      <c r="AF132" t="s">
        <v>1376</v>
      </c>
      <c r="AG132" s="6">
        <v>0.37</v>
      </c>
      <c r="AH132" s="2">
        <v>0.01</v>
      </c>
      <c r="AI132" s="5">
        <v>6.1</v>
      </c>
      <c r="AJ132" s="5">
        <v>4.9000000000000004</v>
      </c>
      <c r="AK132" s="5" t="s">
        <v>443</v>
      </c>
      <c r="AL132" s="5">
        <v>8.6999999999999993</v>
      </c>
      <c r="AM132" s="5">
        <v>24.6</v>
      </c>
      <c r="AN132" s="5">
        <v>4.16</v>
      </c>
      <c r="AO132" s="2">
        <v>78.8</v>
      </c>
      <c r="AP132" s="5" t="s">
        <v>443</v>
      </c>
      <c r="AQ132" s="2">
        <v>107.49299999999999</v>
      </c>
      <c r="AR132" s="2" t="s">
        <v>1371</v>
      </c>
      <c r="AS132" t="s">
        <v>1334</v>
      </c>
    </row>
    <row r="133" spans="1:45" x14ac:dyDescent="0.35">
      <c r="A133" t="s">
        <v>102</v>
      </c>
      <c r="B133" t="s">
        <v>1004</v>
      </c>
      <c r="C133" t="s">
        <v>972</v>
      </c>
      <c r="D133" s="2" t="s">
        <v>592</v>
      </c>
      <c r="E133" s="2" t="s">
        <v>1368</v>
      </c>
      <c r="F133" s="2" t="s">
        <v>716</v>
      </c>
      <c r="G133" s="3">
        <v>1145</v>
      </c>
      <c r="H133" s="3">
        <v>8</v>
      </c>
      <c r="I133" s="3">
        <v>7</v>
      </c>
      <c r="J133" s="3">
        <v>9</v>
      </c>
      <c r="K133" s="3">
        <v>592</v>
      </c>
      <c r="L133" s="3">
        <v>255</v>
      </c>
      <c r="M133" s="3">
        <v>1893</v>
      </c>
      <c r="N133" s="3">
        <v>47</v>
      </c>
      <c r="O133" s="5">
        <v>97.4</v>
      </c>
      <c r="P133" s="5">
        <v>0.4</v>
      </c>
      <c r="Q133" s="5">
        <v>0.7</v>
      </c>
      <c r="R133" s="5">
        <v>1.5</v>
      </c>
      <c r="S133" s="5">
        <v>30.6</v>
      </c>
      <c r="T133" s="5">
        <v>9.6999999999999993</v>
      </c>
      <c r="U133" s="5">
        <v>56.8</v>
      </c>
      <c r="V133" s="5">
        <v>2.9</v>
      </c>
      <c r="W133" s="5">
        <f t="shared" si="4"/>
        <v>59.699999999999996</v>
      </c>
      <c r="X133" s="3">
        <v>-3.31053300533297</v>
      </c>
      <c r="Y133" t="s">
        <v>1352</v>
      </c>
      <c r="Z133" s="4">
        <v>42884</v>
      </c>
      <c r="AA133" t="s">
        <v>27</v>
      </c>
      <c r="AB133" t="s">
        <v>28</v>
      </c>
      <c r="AC133" t="s">
        <v>1334</v>
      </c>
      <c r="AD133" t="s">
        <v>1147</v>
      </c>
      <c r="AE133" t="s">
        <v>1365</v>
      </c>
      <c r="AF133" t="s">
        <v>1376</v>
      </c>
      <c r="AG133" s="6">
        <v>0.23</v>
      </c>
      <c r="AH133" s="2">
        <v>0.01</v>
      </c>
      <c r="AI133" s="5">
        <v>6.2</v>
      </c>
      <c r="AJ133" s="5">
        <v>4.9000000000000004</v>
      </c>
      <c r="AK133" s="5" t="s">
        <v>443</v>
      </c>
      <c r="AL133" s="5">
        <v>9.1999999999999993</v>
      </c>
      <c r="AM133" s="5">
        <v>23.9</v>
      </c>
      <c r="AN133" s="5">
        <v>3.75</v>
      </c>
      <c r="AO133" s="2">
        <v>1.9</v>
      </c>
      <c r="AP133" s="5" t="s">
        <v>443</v>
      </c>
      <c r="AQ133" s="2">
        <v>46.712499999999999</v>
      </c>
      <c r="AR133" s="2" t="s">
        <v>1371</v>
      </c>
      <c r="AS133" t="s">
        <v>1334</v>
      </c>
    </row>
    <row r="134" spans="1:45" x14ac:dyDescent="0.35">
      <c r="A134" t="s">
        <v>117</v>
      </c>
      <c r="B134" t="s">
        <v>974</v>
      </c>
      <c r="C134" t="s">
        <v>972</v>
      </c>
      <c r="D134" s="2" t="s">
        <v>592</v>
      </c>
      <c r="E134" s="2" t="s">
        <v>1368</v>
      </c>
      <c r="F134" s="2" t="s">
        <v>716</v>
      </c>
      <c r="G134" s="3">
        <v>1722</v>
      </c>
      <c r="H134" s="3">
        <v>13</v>
      </c>
      <c r="I134" s="3">
        <v>15</v>
      </c>
      <c r="J134" s="3">
        <v>15</v>
      </c>
      <c r="K134" s="3">
        <v>723</v>
      </c>
      <c r="L134" s="3">
        <v>256</v>
      </c>
      <c r="M134" s="3">
        <v>2295</v>
      </c>
      <c r="N134" s="3">
        <v>429</v>
      </c>
      <c r="O134" s="5">
        <v>97</v>
      </c>
      <c r="P134" s="5">
        <v>0.4</v>
      </c>
      <c r="Q134" s="5">
        <v>1</v>
      </c>
      <c r="R134" s="5">
        <v>1.6</v>
      </c>
      <c r="S134" s="5">
        <v>26.3</v>
      </c>
      <c r="T134" s="5">
        <v>6.9</v>
      </c>
      <c r="U134" s="5">
        <v>48.4</v>
      </c>
      <c r="V134" s="5">
        <v>18.399999999999999</v>
      </c>
      <c r="W134" s="5">
        <f t="shared" si="4"/>
        <v>66.8</v>
      </c>
      <c r="X134" s="2">
        <v>0</v>
      </c>
      <c r="Y134" t="s">
        <v>616</v>
      </c>
      <c r="Z134" s="4">
        <v>42884</v>
      </c>
      <c r="AA134" t="s">
        <v>6</v>
      </c>
      <c r="AB134" t="s">
        <v>114</v>
      </c>
      <c r="AC134" t="s">
        <v>1334</v>
      </c>
      <c r="AD134" t="s">
        <v>1176</v>
      </c>
      <c r="AE134" t="s">
        <v>1365</v>
      </c>
      <c r="AF134" t="s">
        <v>1376</v>
      </c>
      <c r="AG134" s="6">
        <v>0.2</v>
      </c>
      <c r="AH134" s="2">
        <v>0.01</v>
      </c>
      <c r="AI134" s="5">
        <v>5.0999999999999996</v>
      </c>
      <c r="AJ134" s="5">
        <v>4.0999999999999996</v>
      </c>
      <c r="AK134" s="5" t="s">
        <v>443</v>
      </c>
      <c r="AL134" s="5">
        <v>9.5</v>
      </c>
      <c r="AM134" s="5">
        <v>24.2</v>
      </c>
      <c r="AN134" s="5">
        <v>8.82</v>
      </c>
      <c r="AO134" s="2">
        <v>8.5</v>
      </c>
      <c r="AP134" s="5" t="s">
        <v>443</v>
      </c>
      <c r="AQ134" s="2">
        <v>28.543299999999999</v>
      </c>
      <c r="AR134" s="2" t="s">
        <v>1371</v>
      </c>
      <c r="AS134" t="s">
        <v>1334</v>
      </c>
    </row>
    <row r="135" spans="1:45" x14ac:dyDescent="0.35">
      <c r="A135" t="s">
        <v>63</v>
      </c>
      <c r="B135" t="s">
        <v>976</v>
      </c>
      <c r="C135" t="s">
        <v>1065</v>
      </c>
      <c r="D135" s="2" t="s">
        <v>592</v>
      </c>
      <c r="E135" s="2" t="s">
        <v>1368</v>
      </c>
      <c r="F135" s="2" t="s">
        <v>718</v>
      </c>
      <c r="G135" s="3">
        <v>1567</v>
      </c>
      <c r="H135" s="3">
        <v>9</v>
      </c>
      <c r="I135" s="3">
        <v>15</v>
      </c>
      <c r="J135" s="3">
        <v>18</v>
      </c>
      <c r="K135" s="3">
        <v>1101</v>
      </c>
      <c r="L135" s="3">
        <v>280</v>
      </c>
      <c r="M135" s="3">
        <v>1314</v>
      </c>
      <c r="N135" s="3">
        <v>249</v>
      </c>
      <c r="O135" s="5">
        <v>96.5</v>
      </c>
      <c r="P135" s="5">
        <v>0.3</v>
      </c>
      <c r="Q135" s="5">
        <v>1.1000000000000001</v>
      </c>
      <c r="R135" s="5">
        <v>2.1</v>
      </c>
      <c r="S135" s="5">
        <v>46.5</v>
      </c>
      <c r="T135" s="5">
        <v>8.6999999999999993</v>
      </c>
      <c r="U135" s="5">
        <v>32.299999999999997</v>
      </c>
      <c r="V135" s="5">
        <v>12.4</v>
      </c>
      <c r="W135" s="5">
        <f t="shared" si="4"/>
        <v>44.699999999999996</v>
      </c>
      <c r="X135" s="2">
        <v>3</v>
      </c>
      <c r="Y135" t="s">
        <v>616</v>
      </c>
      <c r="Z135" s="4">
        <v>42901</v>
      </c>
      <c r="AA135" t="s">
        <v>10</v>
      </c>
      <c r="AB135" t="s">
        <v>59</v>
      </c>
      <c r="AC135" t="s">
        <v>1334</v>
      </c>
      <c r="AD135" t="s">
        <v>1125</v>
      </c>
      <c r="AE135" t="s">
        <v>1365</v>
      </c>
      <c r="AF135" t="s">
        <v>1376</v>
      </c>
      <c r="AG135" s="6">
        <v>0.1</v>
      </c>
      <c r="AH135" s="2">
        <v>0.01</v>
      </c>
      <c r="AI135" s="5">
        <v>12.7</v>
      </c>
      <c r="AJ135" s="5">
        <v>10.199999999999999</v>
      </c>
      <c r="AK135" s="5" t="s">
        <v>443</v>
      </c>
      <c r="AL135" s="5">
        <v>9.5</v>
      </c>
      <c r="AM135" s="5">
        <v>26.1</v>
      </c>
      <c r="AN135" s="5">
        <v>7.98</v>
      </c>
      <c r="AO135" s="2">
        <v>107.9</v>
      </c>
      <c r="AP135" s="5" t="s">
        <v>443</v>
      </c>
      <c r="AQ135" s="2">
        <v>61.797600000000003</v>
      </c>
      <c r="AR135" s="2" t="s">
        <v>1371</v>
      </c>
      <c r="AS135" t="s">
        <v>1334</v>
      </c>
    </row>
    <row r="136" spans="1:45" x14ac:dyDescent="0.35">
      <c r="A136" t="s">
        <v>79</v>
      </c>
      <c r="B136" t="s">
        <v>977</v>
      </c>
      <c r="C136" t="s">
        <v>972</v>
      </c>
      <c r="D136" s="2" t="s">
        <v>592</v>
      </c>
      <c r="E136" s="2" t="s">
        <v>1368</v>
      </c>
      <c r="F136" s="2" t="s">
        <v>716</v>
      </c>
      <c r="G136" s="3">
        <v>1192</v>
      </c>
      <c r="H136" s="3">
        <v>12</v>
      </c>
      <c r="I136" s="3">
        <v>15</v>
      </c>
      <c r="J136" s="3">
        <v>16</v>
      </c>
      <c r="K136" s="3">
        <v>680</v>
      </c>
      <c r="L136" s="3">
        <v>183</v>
      </c>
      <c r="M136" s="3">
        <v>1290</v>
      </c>
      <c r="N136" s="3">
        <v>296</v>
      </c>
      <c r="O136" s="5">
        <v>95.6</v>
      </c>
      <c r="P136" s="5">
        <v>0.6</v>
      </c>
      <c r="Q136" s="5">
        <v>1.4</v>
      </c>
      <c r="R136" s="5">
        <v>2.4</v>
      </c>
      <c r="S136" s="5">
        <v>35.5</v>
      </c>
      <c r="T136" s="5">
        <v>7.1</v>
      </c>
      <c r="U136" s="5">
        <v>39.1</v>
      </c>
      <c r="V136" s="5">
        <v>18.3</v>
      </c>
      <c r="W136" s="5">
        <f t="shared" si="4"/>
        <v>57.400000000000006</v>
      </c>
      <c r="X136" s="2">
        <v>0</v>
      </c>
      <c r="Y136" t="s">
        <v>616</v>
      </c>
      <c r="Z136" s="4">
        <v>42901</v>
      </c>
      <c r="AA136" t="s">
        <v>74</v>
      </c>
      <c r="AB136" t="s">
        <v>75</v>
      </c>
      <c r="AC136" t="s">
        <v>1334</v>
      </c>
      <c r="AD136" t="s">
        <v>1139</v>
      </c>
      <c r="AE136" t="s">
        <v>1365</v>
      </c>
      <c r="AF136" t="s">
        <v>1376</v>
      </c>
      <c r="AG136" s="6">
        <v>0.04</v>
      </c>
      <c r="AH136" s="2">
        <v>0.01</v>
      </c>
      <c r="AI136" s="5">
        <v>7</v>
      </c>
      <c r="AJ136" s="5">
        <v>5.6</v>
      </c>
      <c r="AK136" s="5" t="s">
        <v>443</v>
      </c>
      <c r="AL136" s="5">
        <v>9.4</v>
      </c>
      <c r="AM136" s="5">
        <v>30.3</v>
      </c>
      <c r="AN136" s="5">
        <v>8.42</v>
      </c>
      <c r="AO136" s="2">
        <v>306.7</v>
      </c>
      <c r="AP136" s="5" t="s">
        <v>443</v>
      </c>
      <c r="AQ136" s="2">
        <v>52.125500000000002</v>
      </c>
      <c r="AR136" s="2" t="s">
        <v>1371</v>
      </c>
      <c r="AS136" t="s">
        <v>1334</v>
      </c>
    </row>
    <row r="137" spans="1:45" x14ac:dyDescent="0.35">
      <c r="A137" t="s">
        <v>89</v>
      </c>
      <c r="B137" t="s">
        <v>973</v>
      </c>
      <c r="C137" t="s">
        <v>972</v>
      </c>
      <c r="D137" s="2" t="s">
        <v>592</v>
      </c>
      <c r="E137" s="2" t="s">
        <v>1368</v>
      </c>
      <c r="F137" s="2" t="s">
        <v>716</v>
      </c>
      <c r="G137" s="3">
        <v>914</v>
      </c>
      <c r="H137" s="3">
        <v>0</v>
      </c>
      <c r="I137" s="3">
        <v>8</v>
      </c>
      <c r="J137" s="3">
        <v>9</v>
      </c>
      <c r="K137" s="3">
        <v>505</v>
      </c>
      <c r="L137" s="3">
        <v>157</v>
      </c>
      <c r="M137" s="3">
        <v>1213</v>
      </c>
      <c r="N137" s="3">
        <v>73</v>
      </c>
      <c r="O137" s="5">
        <v>97.3</v>
      </c>
      <c r="P137" s="5">
        <v>0</v>
      </c>
      <c r="Q137" s="5">
        <v>0.9</v>
      </c>
      <c r="R137" s="5">
        <v>1.8</v>
      </c>
      <c r="S137" s="5">
        <v>35.799999999999997</v>
      </c>
      <c r="T137" s="5">
        <v>8.1999999999999993</v>
      </c>
      <c r="U137" s="5">
        <v>49.9</v>
      </c>
      <c r="V137" s="5">
        <v>6.1</v>
      </c>
      <c r="W137" s="5">
        <f t="shared" si="4"/>
        <v>56</v>
      </c>
      <c r="X137" s="2">
        <v>1</v>
      </c>
      <c r="Y137" t="s">
        <v>609</v>
      </c>
      <c r="Z137" s="4">
        <v>42901</v>
      </c>
      <c r="AA137" t="s">
        <v>10</v>
      </c>
      <c r="AB137" t="s">
        <v>85</v>
      </c>
      <c r="AC137" t="s">
        <v>1334</v>
      </c>
      <c r="AD137" t="s">
        <v>1162</v>
      </c>
      <c r="AE137" t="s">
        <v>1365</v>
      </c>
      <c r="AF137" t="s">
        <v>1376</v>
      </c>
      <c r="AG137" s="6">
        <v>0.25</v>
      </c>
      <c r="AH137" s="2">
        <v>0.01</v>
      </c>
      <c r="AI137" s="5">
        <v>9.1</v>
      </c>
      <c r="AJ137" s="5">
        <v>7.3</v>
      </c>
      <c r="AK137" s="5" t="s">
        <v>443</v>
      </c>
      <c r="AL137" s="5">
        <v>9.1999999999999993</v>
      </c>
      <c r="AM137" s="5">
        <v>25.9</v>
      </c>
      <c r="AN137" s="5">
        <v>3.77</v>
      </c>
      <c r="AO137" s="2">
        <v>49.2</v>
      </c>
      <c r="AP137" s="5" t="s">
        <v>443</v>
      </c>
      <c r="AQ137" s="2">
        <v>162.358</v>
      </c>
      <c r="AR137" s="2" t="s">
        <v>1371</v>
      </c>
      <c r="AS137" t="s">
        <v>1334</v>
      </c>
    </row>
    <row r="138" spans="1:45" x14ac:dyDescent="0.35">
      <c r="A138" t="s">
        <v>103</v>
      </c>
      <c r="B138" t="s">
        <v>1004</v>
      </c>
      <c r="C138" t="s">
        <v>972</v>
      </c>
      <c r="D138" s="2" t="s">
        <v>592</v>
      </c>
      <c r="E138" s="2" t="s">
        <v>1368</v>
      </c>
      <c r="F138" s="2" t="s">
        <v>716</v>
      </c>
      <c r="G138" s="3">
        <v>1145</v>
      </c>
      <c r="H138" s="3">
        <v>8</v>
      </c>
      <c r="I138" s="3">
        <v>7</v>
      </c>
      <c r="J138" s="3">
        <v>9</v>
      </c>
      <c r="K138" s="3">
        <v>592</v>
      </c>
      <c r="L138" s="3">
        <v>255</v>
      </c>
      <c r="M138" s="3">
        <v>1893</v>
      </c>
      <c r="N138" s="3">
        <v>47</v>
      </c>
      <c r="O138" s="5">
        <v>97.4</v>
      </c>
      <c r="P138" s="5">
        <v>0.4</v>
      </c>
      <c r="Q138" s="5">
        <v>0.7</v>
      </c>
      <c r="R138" s="5">
        <v>1.5</v>
      </c>
      <c r="S138" s="5">
        <v>30.6</v>
      </c>
      <c r="T138" s="5">
        <v>9.6999999999999993</v>
      </c>
      <c r="U138" s="5">
        <v>56.8</v>
      </c>
      <c r="V138" s="5">
        <v>2.9</v>
      </c>
      <c r="W138" s="5">
        <f t="shared" si="4"/>
        <v>59.699999999999996</v>
      </c>
      <c r="X138" s="3">
        <v>-3.31053300533297</v>
      </c>
      <c r="Y138" t="s">
        <v>1352</v>
      </c>
      <c r="Z138" s="4">
        <v>42901</v>
      </c>
      <c r="AA138" t="s">
        <v>27</v>
      </c>
      <c r="AB138" t="s">
        <v>28</v>
      </c>
      <c r="AC138" t="s">
        <v>1334</v>
      </c>
      <c r="AD138" t="s">
        <v>1148</v>
      </c>
      <c r="AE138" t="s">
        <v>1365</v>
      </c>
      <c r="AF138" t="s">
        <v>1376</v>
      </c>
      <c r="AG138" s="6">
        <v>0.12</v>
      </c>
      <c r="AH138" s="2">
        <v>0.01</v>
      </c>
      <c r="AI138" s="5">
        <v>10</v>
      </c>
      <c r="AJ138" s="5">
        <v>8</v>
      </c>
      <c r="AK138" s="5" t="s">
        <v>443</v>
      </c>
      <c r="AL138" s="5">
        <v>9.5</v>
      </c>
      <c r="AM138" s="5">
        <v>29.4</v>
      </c>
      <c r="AN138" s="5">
        <v>11.66</v>
      </c>
      <c r="AO138" s="2">
        <v>3.4</v>
      </c>
      <c r="AP138" s="5" t="s">
        <v>443</v>
      </c>
      <c r="AQ138" s="2">
        <v>76.609899999999996</v>
      </c>
      <c r="AR138" s="2" t="s">
        <v>1371</v>
      </c>
      <c r="AS138" t="s">
        <v>1334</v>
      </c>
    </row>
    <row r="139" spans="1:45" x14ac:dyDescent="0.35">
      <c r="A139" t="s">
        <v>118</v>
      </c>
      <c r="B139" t="s">
        <v>974</v>
      </c>
      <c r="C139" t="s">
        <v>972</v>
      </c>
      <c r="D139" s="2" t="s">
        <v>592</v>
      </c>
      <c r="E139" s="2" t="s">
        <v>1368</v>
      </c>
      <c r="F139" s="2" t="s">
        <v>716</v>
      </c>
      <c r="G139" s="3">
        <v>1722</v>
      </c>
      <c r="H139" s="3">
        <v>13</v>
      </c>
      <c r="I139" s="3">
        <v>15</v>
      </c>
      <c r="J139" s="3">
        <v>15</v>
      </c>
      <c r="K139" s="3">
        <v>723</v>
      </c>
      <c r="L139" s="3">
        <v>256</v>
      </c>
      <c r="M139" s="3">
        <v>2295</v>
      </c>
      <c r="N139" s="3">
        <v>429</v>
      </c>
      <c r="O139" s="5">
        <v>97</v>
      </c>
      <c r="P139" s="5">
        <v>0.4</v>
      </c>
      <c r="Q139" s="5">
        <v>1</v>
      </c>
      <c r="R139" s="5">
        <v>1.6</v>
      </c>
      <c r="S139" s="5">
        <v>26.3</v>
      </c>
      <c r="T139" s="5">
        <v>6.9</v>
      </c>
      <c r="U139" s="5">
        <v>48.4</v>
      </c>
      <c r="V139" s="5">
        <v>18.399999999999999</v>
      </c>
      <c r="W139" s="5">
        <f t="shared" si="4"/>
        <v>66.8</v>
      </c>
      <c r="X139" s="2">
        <v>0</v>
      </c>
      <c r="Y139" t="s">
        <v>616</v>
      </c>
      <c r="Z139" s="4">
        <v>42901</v>
      </c>
      <c r="AA139" t="s">
        <v>6</v>
      </c>
      <c r="AB139" t="s">
        <v>114</v>
      </c>
      <c r="AC139" t="s">
        <v>1334</v>
      </c>
      <c r="AD139" t="s">
        <v>1175</v>
      </c>
      <c r="AE139" t="s">
        <v>1365</v>
      </c>
      <c r="AF139" t="s">
        <v>1376</v>
      </c>
      <c r="AG139" s="6">
        <v>0.15</v>
      </c>
      <c r="AH139" s="2">
        <v>0.01</v>
      </c>
      <c r="AI139" s="5">
        <v>7.3</v>
      </c>
      <c r="AJ139" s="5">
        <v>5.8</v>
      </c>
      <c r="AK139" s="5" t="s">
        <v>443</v>
      </c>
      <c r="AL139" s="5">
        <v>9.5</v>
      </c>
      <c r="AM139" s="5">
        <v>30.9</v>
      </c>
      <c r="AN139" s="5">
        <v>10.28</v>
      </c>
      <c r="AO139" s="2">
        <v>93.7</v>
      </c>
      <c r="AP139" s="5" t="s">
        <v>443</v>
      </c>
      <c r="AQ139" s="2">
        <v>45.894300000000001</v>
      </c>
      <c r="AR139" s="2" t="s">
        <v>1371</v>
      </c>
      <c r="AS139" t="s">
        <v>1334</v>
      </c>
    </row>
    <row r="140" spans="1:45" x14ac:dyDescent="0.35">
      <c r="A140" t="s">
        <v>64</v>
      </c>
      <c r="B140" t="s">
        <v>976</v>
      </c>
      <c r="C140" t="s">
        <v>1065</v>
      </c>
      <c r="D140" s="2" t="s">
        <v>592</v>
      </c>
      <c r="E140" s="2" t="s">
        <v>1368</v>
      </c>
      <c r="F140" s="2" t="s">
        <v>718</v>
      </c>
      <c r="G140" s="3">
        <v>1567</v>
      </c>
      <c r="H140" s="3">
        <v>9</v>
      </c>
      <c r="I140" s="3">
        <v>15</v>
      </c>
      <c r="J140" s="3">
        <v>18</v>
      </c>
      <c r="K140" s="3">
        <v>1101</v>
      </c>
      <c r="L140" s="3">
        <v>280</v>
      </c>
      <c r="M140" s="3">
        <v>1314</v>
      </c>
      <c r="N140" s="3">
        <v>249</v>
      </c>
      <c r="O140" s="5">
        <v>96.5</v>
      </c>
      <c r="P140" s="5">
        <v>0.3</v>
      </c>
      <c r="Q140" s="5">
        <v>1.1000000000000001</v>
      </c>
      <c r="R140" s="5">
        <v>2.1</v>
      </c>
      <c r="S140" s="5">
        <v>46.5</v>
      </c>
      <c r="T140" s="5">
        <v>8.6999999999999993</v>
      </c>
      <c r="U140" s="5">
        <v>32.299999999999997</v>
      </c>
      <c r="V140" s="5">
        <v>12.4</v>
      </c>
      <c r="W140" s="5">
        <f t="shared" si="4"/>
        <v>44.699999999999996</v>
      </c>
      <c r="X140" s="2">
        <v>3</v>
      </c>
      <c r="Y140" t="s">
        <v>616</v>
      </c>
      <c r="Z140" s="4">
        <v>42915</v>
      </c>
      <c r="AA140" t="s">
        <v>10</v>
      </c>
      <c r="AB140" t="s">
        <v>59</v>
      </c>
      <c r="AC140" t="s">
        <v>1334</v>
      </c>
      <c r="AD140" t="s">
        <v>1126</v>
      </c>
      <c r="AE140" t="s">
        <v>1365</v>
      </c>
      <c r="AF140" t="s">
        <v>1376</v>
      </c>
      <c r="AG140" s="6">
        <v>0.12</v>
      </c>
      <c r="AH140" s="2">
        <v>0.01</v>
      </c>
      <c r="AI140" s="5">
        <v>11.6</v>
      </c>
      <c r="AJ140" s="5">
        <v>9.1999999999999993</v>
      </c>
      <c r="AK140" s="5" t="s">
        <v>443</v>
      </c>
      <c r="AL140" s="5">
        <v>9.8000000000000007</v>
      </c>
      <c r="AM140" s="5">
        <v>21.4</v>
      </c>
      <c r="AN140" s="5">
        <v>6.89</v>
      </c>
      <c r="AO140" s="2">
        <v>204.5</v>
      </c>
      <c r="AP140" s="5" t="s">
        <v>443</v>
      </c>
      <c r="AQ140" s="2">
        <v>51.747900000000001</v>
      </c>
      <c r="AR140" s="2" t="s">
        <v>1371</v>
      </c>
      <c r="AS140" t="s">
        <v>1334</v>
      </c>
    </row>
    <row r="141" spans="1:45" x14ac:dyDescent="0.35">
      <c r="A141" t="s">
        <v>80</v>
      </c>
      <c r="B141" t="s">
        <v>977</v>
      </c>
      <c r="C141" t="s">
        <v>972</v>
      </c>
      <c r="D141" s="2" t="s">
        <v>592</v>
      </c>
      <c r="E141" s="2" t="s">
        <v>1368</v>
      </c>
      <c r="F141" s="2" t="s">
        <v>716</v>
      </c>
      <c r="G141" s="3">
        <v>1192</v>
      </c>
      <c r="H141" s="3">
        <v>12</v>
      </c>
      <c r="I141" s="3">
        <v>15</v>
      </c>
      <c r="J141" s="3">
        <v>16</v>
      </c>
      <c r="K141" s="3">
        <v>680</v>
      </c>
      <c r="L141" s="3">
        <v>183</v>
      </c>
      <c r="M141" s="3">
        <v>1290</v>
      </c>
      <c r="N141" s="3">
        <v>296</v>
      </c>
      <c r="O141" s="5">
        <v>95.6</v>
      </c>
      <c r="P141" s="5">
        <v>0.6</v>
      </c>
      <c r="Q141" s="5">
        <v>1.4</v>
      </c>
      <c r="R141" s="5">
        <v>2.4</v>
      </c>
      <c r="S141" s="5">
        <v>35.5</v>
      </c>
      <c r="T141" s="5">
        <v>7.1</v>
      </c>
      <c r="U141" s="5">
        <v>39.1</v>
      </c>
      <c r="V141" s="5">
        <v>18.3</v>
      </c>
      <c r="W141" s="5">
        <f t="shared" si="4"/>
        <v>57.400000000000006</v>
      </c>
      <c r="X141" s="2">
        <v>0</v>
      </c>
      <c r="Y141" t="s">
        <v>616</v>
      </c>
      <c r="Z141" s="4">
        <v>42915</v>
      </c>
      <c r="AA141" t="s">
        <v>74</v>
      </c>
      <c r="AB141" t="s">
        <v>75</v>
      </c>
      <c r="AC141" t="s">
        <v>1334</v>
      </c>
      <c r="AD141" t="s">
        <v>1140</v>
      </c>
      <c r="AE141" t="s">
        <v>1365</v>
      </c>
      <c r="AF141" t="s">
        <v>1376</v>
      </c>
      <c r="AG141" s="6">
        <v>0.02</v>
      </c>
      <c r="AH141" s="2">
        <v>0.01</v>
      </c>
      <c r="AI141" s="5">
        <v>2.6</v>
      </c>
      <c r="AJ141" s="5">
        <v>2</v>
      </c>
      <c r="AK141" s="5" t="s">
        <v>443</v>
      </c>
      <c r="AL141" s="5">
        <v>9.8000000000000007</v>
      </c>
      <c r="AM141" s="5">
        <v>24.8</v>
      </c>
      <c r="AN141" s="5">
        <v>6.05</v>
      </c>
      <c r="AO141" s="2">
        <v>362.2</v>
      </c>
      <c r="AP141" s="5" t="s">
        <v>443</v>
      </c>
      <c r="AQ141" s="2">
        <v>10.080399999999999</v>
      </c>
      <c r="AR141" s="2" t="s">
        <v>1371</v>
      </c>
      <c r="AS141" t="s">
        <v>1334</v>
      </c>
    </row>
    <row r="142" spans="1:45" x14ac:dyDescent="0.35">
      <c r="A142" t="s">
        <v>90</v>
      </c>
      <c r="B142" t="s">
        <v>973</v>
      </c>
      <c r="C142" t="s">
        <v>972</v>
      </c>
      <c r="D142" s="2" t="s">
        <v>592</v>
      </c>
      <c r="E142" s="2" t="s">
        <v>1368</v>
      </c>
      <c r="F142" s="2" t="s">
        <v>716</v>
      </c>
      <c r="G142" s="3">
        <v>914</v>
      </c>
      <c r="H142" s="3">
        <v>0</v>
      </c>
      <c r="I142" s="3">
        <v>8</v>
      </c>
      <c r="J142" s="3">
        <v>9</v>
      </c>
      <c r="K142" s="3">
        <v>505</v>
      </c>
      <c r="L142" s="3">
        <v>157</v>
      </c>
      <c r="M142" s="3">
        <v>1213</v>
      </c>
      <c r="N142" s="3">
        <v>73</v>
      </c>
      <c r="O142" s="5">
        <v>97.3</v>
      </c>
      <c r="P142" s="5">
        <v>0</v>
      </c>
      <c r="Q142" s="5">
        <v>0.9</v>
      </c>
      <c r="R142" s="5">
        <v>1.8</v>
      </c>
      <c r="S142" s="5">
        <v>35.799999999999997</v>
      </c>
      <c r="T142" s="5">
        <v>8.1999999999999993</v>
      </c>
      <c r="U142" s="5">
        <v>49.9</v>
      </c>
      <c r="V142" s="5">
        <v>6.1</v>
      </c>
      <c r="W142" s="5">
        <f t="shared" si="4"/>
        <v>56</v>
      </c>
      <c r="X142" s="2">
        <v>1</v>
      </c>
      <c r="Y142" t="s">
        <v>609</v>
      </c>
      <c r="Z142" s="4">
        <v>42915</v>
      </c>
      <c r="AA142" t="s">
        <v>10</v>
      </c>
      <c r="AB142" t="s">
        <v>85</v>
      </c>
      <c r="AC142" t="s">
        <v>1334</v>
      </c>
      <c r="AD142" t="s">
        <v>1163</v>
      </c>
      <c r="AE142" t="s">
        <v>1365</v>
      </c>
      <c r="AF142" t="s">
        <v>1376</v>
      </c>
      <c r="AG142" s="6">
        <v>0.25</v>
      </c>
      <c r="AH142" s="2">
        <v>0.01</v>
      </c>
      <c r="AI142" s="5">
        <v>8.5</v>
      </c>
      <c r="AJ142" s="5">
        <v>6.8</v>
      </c>
      <c r="AK142" s="5" t="s">
        <v>443</v>
      </c>
      <c r="AL142" s="5">
        <v>9.5</v>
      </c>
      <c r="AM142" s="5">
        <v>24.9</v>
      </c>
      <c r="AN142" s="5">
        <v>6.89</v>
      </c>
      <c r="AO142" s="2">
        <v>195.9</v>
      </c>
      <c r="AP142" s="5" t="s">
        <v>443</v>
      </c>
      <c r="AQ142" s="2">
        <v>156.672</v>
      </c>
      <c r="AR142" s="2" t="s">
        <v>1371</v>
      </c>
      <c r="AS142" t="s">
        <v>1334</v>
      </c>
    </row>
    <row r="143" spans="1:45" x14ac:dyDescent="0.35">
      <c r="A143" t="s">
        <v>104</v>
      </c>
      <c r="B143" t="s">
        <v>1004</v>
      </c>
      <c r="C143" t="s">
        <v>972</v>
      </c>
      <c r="D143" s="2" t="s">
        <v>592</v>
      </c>
      <c r="E143" s="2" t="s">
        <v>1368</v>
      </c>
      <c r="F143" s="2" t="s">
        <v>716</v>
      </c>
      <c r="G143" s="3">
        <v>1145</v>
      </c>
      <c r="H143" s="3">
        <v>8</v>
      </c>
      <c r="I143" s="3">
        <v>7</v>
      </c>
      <c r="J143" s="3">
        <v>9</v>
      </c>
      <c r="K143" s="3">
        <v>592</v>
      </c>
      <c r="L143" s="3">
        <v>255</v>
      </c>
      <c r="M143" s="3">
        <v>1893</v>
      </c>
      <c r="N143" s="3">
        <v>47</v>
      </c>
      <c r="O143" s="5">
        <v>97.4</v>
      </c>
      <c r="P143" s="5">
        <v>0.4</v>
      </c>
      <c r="Q143" s="5">
        <v>0.7</v>
      </c>
      <c r="R143" s="5">
        <v>1.5</v>
      </c>
      <c r="S143" s="5">
        <v>30.6</v>
      </c>
      <c r="T143" s="5">
        <v>9.6999999999999993</v>
      </c>
      <c r="U143" s="5">
        <v>56.8</v>
      </c>
      <c r="V143" s="5">
        <v>2.9</v>
      </c>
      <c r="W143" s="5">
        <f t="shared" si="4"/>
        <v>59.699999999999996</v>
      </c>
      <c r="X143" s="3">
        <v>-3.31053300533297</v>
      </c>
      <c r="Y143" t="s">
        <v>1352</v>
      </c>
      <c r="Z143" s="4">
        <v>42915</v>
      </c>
      <c r="AA143" t="s">
        <v>27</v>
      </c>
      <c r="AB143" t="s">
        <v>28</v>
      </c>
      <c r="AC143" t="s">
        <v>1334</v>
      </c>
      <c r="AD143" t="s">
        <v>1149</v>
      </c>
      <c r="AE143" t="s">
        <v>1365</v>
      </c>
      <c r="AF143" t="s">
        <v>1376</v>
      </c>
      <c r="AG143" s="6">
        <v>0.1</v>
      </c>
      <c r="AH143" s="2">
        <v>0.01</v>
      </c>
      <c r="AI143" s="5">
        <v>6.7</v>
      </c>
      <c r="AJ143" s="5">
        <v>5.4</v>
      </c>
      <c r="AK143" s="5" t="s">
        <v>443</v>
      </c>
      <c r="AL143" s="5">
        <v>9.6999999999999993</v>
      </c>
      <c r="AM143" s="5">
        <v>22.1</v>
      </c>
      <c r="AN143" s="5">
        <v>8.7799999999999994</v>
      </c>
      <c r="AO143" s="2">
        <v>112.5</v>
      </c>
      <c r="AP143" s="5" t="s">
        <v>443</v>
      </c>
      <c r="AQ143" s="2">
        <v>53.636200000000002</v>
      </c>
      <c r="AR143" s="2" t="s">
        <v>1371</v>
      </c>
      <c r="AS143" t="s">
        <v>1334</v>
      </c>
    </row>
    <row r="144" spans="1:45" x14ac:dyDescent="0.35">
      <c r="A144" t="s">
        <v>119</v>
      </c>
      <c r="B144" t="s">
        <v>974</v>
      </c>
      <c r="C144" t="s">
        <v>972</v>
      </c>
      <c r="D144" s="2" t="s">
        <v>592</v>
      </c>
      <c r="E144" s="2" t="s">
        <v>1368</v>
      </c>
      <c r="F144" s="2" t="s">
        <v>716</v>
      </c>
      <c r="G144" s="3">
        <v>1722</v>
      </c>
      <c r="H144" s="3">
        <v>13</v>
      </c>
      <c r="I144" s="3">
        <v>15</v>
      </c>
      <c r="J144" s="3">
        <v>15</v>
      </c>
      <c r="K144" s="3">
        <v>723</v>
      </c>
      <c r="L144" s="3">
        <v>256</v>
      </c>
      <c r="M144" s="3">
        <v>2295</v>
      </c>
      <c r="N144" s="3">
        <v>429</v>
      </c>
      <c r="O144" s="5">
        <v>97</v>
      </c>
      <c r="P144" s="5">
        <v>0.4</v>
      </c>
      <c r="Q144" s="5">
        <v>1</v>
      </c>
      <c r="R144" s="5">
        <v>1.6</v>
      </c>
      <c r="S144" s="5">
        <v>26.3</v>
      </c>
      <c r="T144" s="5">
        <v>6.9</v>
      </c>
      <c r="U144" s="5">
        <v>48.4</v>
      </c>
      <c r="V144" s="5">
        <v>18.399999999999999</v>
      </c>
      <c r="W144" s="5">
        <f t="shared" si="4"/>
        <v>66.8</v>
      </c>
      <c r="X144" s="2">
        <v>0</v>
      </c>
      <c r="Y144" t="s">
        <v>616</v>
      </c>
      <c r="Z144" s="4">
        <v>42915</v>
      </c>
      <c r="AA144" t="s">
        <v>6</v>
      </c>
      <c r="AB144" t="s">
        <v>114</v>
      </c>
      <c r="AC144" t="s">
        <v>1334</v>
      </c>
      <c r="AD144" t="s">
        <v>1177</v>
      </c>
      <c r="AE144" t="s">
        <v>1365</v>
      </c>
      <c r="AF144" t="s">
        <v>1376</v>
      </c>
      <c r="AG144" s="6">
        <v>7.0000000000000007E-2</v>
      </c>
      <c r="AH144" s="2">
        <v>0.01</v>
      </c>
      <c r="AI144" s="5">
        <v>7.6</v>
      </c>
      <c r="AJ144" s="5">
        <v>6.1</v>
      </c>
      <c r="AK144" s="5" t="s">
        <v>443</v>
      </c>
      <c r="AL144" s="5">
        <v>9.6999999999999993</v>
      </c>
      <c r="AM144" s="5">
        <v>24</v>
      </c>
      <c r="AN144" s="5">
        <v>8.1300000000000008</v>
      </c>
      <c r="AO144" s="2">
        <v>255.6</v>
      </c>
      <c r="AP144" s="5" t="s">
        <v>443</v>
      </c>
      <c r="AQ144" s="2">
        <v>45.076099999999997</v>
      </c>
      <c r="AR144" s="2" t="s">
        <v>1371</v>
      </c>
      <c r="AS144" t="s">
        <v>1334</v>
      </c>
    </row>
    <row r="145" spans="1:45" x14ac:dyDescent="0.35">
      <c r="A145" t="s">
        <v>65</v>
      </c>
      <c r="B145" t="s">
        <v>976</v>
      </c>
      <c r="C145" t="s">
        <v>1065</v>
      </c>
      <c r="D145" s="2" t="s">
        <v>592</v>
      </c>
      <c r="E145" s="2" t="s">
        <v>1368</v>
      </c>
      <c r="F145" s="2" t="s">
        <v>718</v>
      </c>
      <c r="G145" s="3">
        <v>1567</v>
      </c>
      <c r="H145" s="3">
        <v>9</v>
      </c>
      <c r="I145" s="3">
        <v>15</v>
      </c>
      <c r="J145" s="3">
        <v>18</v>
      </c>
      <c r="K145" s="3">
        <v>1101</v>
      </c>
      <c r="L145" s="3">
        <v>280</v>
      </c>
      <c r="M145" s="3">
        <v>1314</v>
      </c>
      <c r="N145" s="3">
        <v>249</v>
      </c>
      <c r="O145" s="5">
        <v>96.5</v>
      </c>
      <c r="P145" s="5">
        <v>0.3</v>
      </c>
      <c r="Q145" s="5">
        <v>1.1000000000000001</v>
      </c>
      <c r="R145" s="5">
        <v>2.1</v>
      </c>
      <c r="S145" s="5">
        <v>46.5</v>
      </c>
      <c r="T145" s="5">
        <v>8.6999999999999993</v>
      </c>
      <c r="U145" s="5">
        <v>32.299999999999997</v>
      </c>
      <c r="V145" s="5">
        <v>12.4</v>
      </c>
      <c r="W145" s="5">
        <f t="shared" si="4"/>
        <v>44.699999999999996</v>
      </c>
      <c r="X145" s="2">
        <v>3</v>
      </c>
      <c r="Y145" t="s">
        <v>616</v>
      </c>
      <c r="Z145" s="4">
        <v>42929</v>
      </c>
      <c r="AA145" t="s">
        <v>10</v>
      </c>
      <c r="AB145" t="s">
        <v>59</v>
      </c>
      <c r="AC145" t="s">
        <v>1334</v>
      </c>
      <c r="AD145" t="s">
        <v>1127</v>
      </c>
      <c r="AE145" t="s">
        <v>1365</v>
      </c>
      <c r="AF145" t="s">
        <v>1376</v>
      </c>
      <c r="AG145" s="6">
        <v>7.0000000000000007E-2</v>
      </c>
      <c r="AH145" s="2">
        <v>0.01</v>
      </c>
      <c r="AI145" s="5">
        <v>19.100000000000001</v>
      </c>
      <c r="AJ145" s="5">
        <v>15.3</v>
      </c>
      <c r="AK145" s="5" t="s">
        <v>443</v>
      </c>
      <c r="AL145" s="5">
        <v>9.6</v>
      </c>
      <c r="AM145" s="5">
        <v>24.1</v>
      </c>
      <c r="AN145" s="5">
        <v>8.4499999999999993</v>
      </c>
      <c r="AO145" s="2">
        <v>230</v>
      </c>
      <c r="AP145" s="5" t="s">
        <v>443</v>
      </c>
      <c r="AQ145" s="2">
        <v>446.87599999999998</v>
      </c>
      <c r="AR145" s="2" t="s">
        <v>1371</v>
      </c>
      <c r="AS145" t="s">
        <v>1334</v>
      </c>
    </row>
    <row r="146" spans="1:45" x14ac:dyDescent="0.35">
      <c r="A146" t="s">
        <v>91</v>
      </c>
      <c r="B146" t="s">
        <v>973</v>
      </c>
      <c r="C146" t="s">
        <v>972</v>
      </c>
      <c r="D146" s="2" t="s">
        <v>592</v>
      </c>
      <c r="E146" s="2" t="s">
        <v>1368</v>
      </c>
      <c r="F146" s="2" t="s">
        <v>716</v>
      </c>
      <c r="G146" s="3">
        <v>914</v>
      </c>
      <c r="H146" s="3">
        <v>0</v>
      </c>
      <c r="I146" s="3">
        <v>8</v>
      </c>
      <c r="J146" s="3">
        <v>9</v>
      </c>
      <c r="K146" s="3">
        <v>505</v>
      </c>
      <c r="L146" s="3">
        <v>157</v>
      </c>
      <c r="M146" s="3">
        <v>1213</v>
      </c>
      <c r="N146" s="3">
        <v>73</v>
      </c>
      <c r="O146" s="5">
        <v>97.3</v>
      </c>
      <c r="P146" s="5">
        <v>0</v>
      </c>
      <c r="Q146" s="5">
        <v>0.9</v>
      </c>
      <c r="R146" s="5">
        <v>1.8</v>
      </c>
      <c r="S146" s="5">
        <v>35.799999999999997</v>
      </c>
      <c r="T146" s="5">
        <v>8.1999999999999993</v>
      </c>
      <c r="U146" s="5">
        <v>49.9</v>
      </c>
      <c r="V146" s="5">
        <v>6.1</v>
      </c>
      <c r="W146" s="5">
        <f t="shared" si="4"/>
        <v>56</v>
      </c>
      <c r="X146" s="2">
        <v>1</v>
      </c>
      <c r="Y146" t="s">
        <v>609</v>
      </c>
      <c r="Z146" s="4">
        <v>42929</v>
      </c>
      <c r="AA146" t="s">
        <v>10</v>
      </c>
      <c r="AB146" t="s">
        <v>85</v>
      </c>
      <c r="AC146" t="s">
        <v>1334</v>
      </c>
      <c r="AD146" t="s">
        <v>1164</v>
      </c>
      <c r="AE146" t="s">
        <v>1365</v>
      </c>
      <c r="AF146" t="s">
        <v>1376</v>
      </c>
      <c r="AG146" s="6">
        <v>0.23</v>
      </c>
      <c r="AH146" s="2">
        <v>0.01</v>
      </c>
      <c r="AI146" s="5">
        <v>12.5</v>
      </c>
      <c r="AJ146" s="5">
        <v>10</v>
      </c>
      <c r="AK146" s="5" t="s">
        <v>443</v>
      </c>
      <c r="AL146" s="5">
        <v>9.5</v>
      </c>
      <c r="AM146" s="5">
        <v>26.5</v>
      </c>
      <c r="AN146" s="5">
        <v>9.5500000000000007</v>
      </c>
      <c r="AO146" s="2">
        <v>257.7</v>
      </c>
      <c r="AP146" s="5" t="s">
        <v>443</v>
      </c>
      <c r="AQ146" s="2">
        <v>243.364</v>
      </c>
      <c r="AR146" s="2" t="s">
        <v>1371</v>
      </c>
      <c r="AS146" t="s">
        <v>1334</v>
      </c>
    </row>
    <row r="147" spans="1:45" x14ac:dyDescent="0.35">
      <c r="A147" t="s">
        <v>105</v>
      </c>
      <c r="B147" t="s">
        <v>1004</v>
      </c>
      <c r="C147" t="s">
        <v>972</v>
      </c>
      <c r="D147" s="2" t="s">
        <v>592</v>
      </c>
      <c r="E147" s="2" t="s">
        <v>1368</v>
      </c>
      <c r="F147" s="2" t="s">
        <v>716</v>
      </c>
      <c r="G147" s="3">
        <v>1145</v>
      </c>
      <c r="H147" s="3">
        <v>8</v>
      </c>
      <c r="I147" s="3">
        <v>7</v>
      </c>
      <c r="J147" s="3">
        <v>9</v>
      </c>
      <c r="K147" s="3">
        <v>592</v>
      </c>
      <c r="L147" s="3">
        <v>255</v>
      </c>
      <c r="M147" s="3">
        <v>1893</v>
      </c>
      <c r="N147" s="3">
        <v>47</v>
      </c>
      <c r="O147" s="5">
        <v>97.4</v>
      </c>
      <c r="P147" s="5">
        <v>0.4</v>
      </c>
      <c r="Q147" s="5">
        <v>0.7</v>
      </c>
      <c r="R147" s="5">
        <v>1.5</v>
      </c>
      <c r="S147" s="5">
        <v>30.6</v>
      </c>
      <c r="T147" s="5">
        <v>9.6999999999999993</v>
      </c>
      <c r="U147" s="5">
        <v>56.8</v>
      </c>
      <c r="V147" s="5">
        <v>2.9</v>
      </c>
      <c r="W147" s="5">
        <f t="shared" si="4"/>
        <v>59.699999999999996</v>
      </c>
      <c r="X147" s="3">
        <v>-3.31053300533297</v>
      </c>
      <c r="Y147" t="s">
        <v>1352</v>
      </c>
      <c r="Z147" s="4">
        <v>42929</v>
      </c>
      <c r="AA147" t="s">
        <v>27</v>
      </c>
      <c r="AB147" t="s">
        <v>28</v>
      </c>
      <c r="AC147" t="s">
        <v>1334</v>
      </c>
      <c r="AD147" t="s">
        <v>1150</v>
      </c>
      <c r="AE147" t="s">
        <v>1365</v>
      </c>
      <c r="AF147" t="s">
        <v>1376</v>
      </c>
      <c r="AG147" s="6">
        <v>0.05</v>
      </c>
      <c r="AH147" s="2">
        <v>0.01</v>
      </c>
      <c r="AI147" s="5">
        <v>11.7</v>
      </c>
      <c r="AJ147" s="5">
        <v>9.4</v>
      </c>
      <c r="AK147" s="5" t="s">
        <v>443</v>
      </c>
      <c r="AL147" s="5">
        <v>9.8000000000000007</v>
      </c>
      <c r="AM147" s="5">
        <v>25.4</v>
      </c>
      <c r="AN147" s="5">
        <v>9.39</v>
      </c>
      <c r="AO147" s="2">
        <v>498.5</v>
      </c>
      <c r="AP147" s="5" t="s">
        <v>443</v>
      </c>
      <c r="AQ147" s="2">
        <v>276.30399999999997</v>
      </c>
      <c r="AR147" s="2" t="s">
        <v>1371</v>
      </c>
      <c r="AS147" t="s">
        <v>1334</v>
      </c>
    </row>
    <row r="148" spans="1:45" x14ac:dyDescent="0.35">
      <c r="A148" t="s">
        <v>120</v>
      </c>
      <c r="B148" t="s">
        <v>974</v>
      </c>
      <c r="C148" t="s">
        <v>972</v>
      </c>
      <c r="D148" s="2" t="s">
        <v>592</v>
      </c>
      <c r="E148" s="2" t="s">
        <v>1368</v>
      </c>
      <c r="F148" s="2" t="s">
        <v>716</v>
      </c>
      <c r="G148" s="3">
        <v>1722</v>
      </c>
      <c r="H148" s="3">
        <v>13</v>
      </c>
      <c r="I148" s="3">
        <v>15</v>
      </c>
      <c r="J148" s="3">
        <v>15</v>
      </c>
      <c r="K148" s="3">
        <v>723</v>
      </c>
      <c r="L148" s="3">
        <v>256</v>
      </c>
      <c r="M148" s="3">
        <v>2295</v>
      </c>
      <c r="N148" s="3">
        <v>429</v>
      </c>
      <c r="O148" s="5">
        <v>97</v>
      </c>
      <c r="P148" s="5">
        <v>0.4</v>
      </c>
      <c r="Q148" s="5">
        <v>1</v>
      </c>
      <c r="R148" s="5">
        <v>1.6</v>
      </c>
      <c r="S148" s="5">
        <v>26.3</v>
      </c>
      <c r="T148" s="5">
        <v>6.9</v>
      </c>
      <c r="U148" s="5">
        <v>48.4</v>
      </c>
      <c r="V148" s="5">
        <v>18.399999999999999</v>
      </c>
      <c r="W148" s="5">
        <f t="shared" si="4"/>
        <v>66.8</v>
      </c>
      <c r="X148" s="2">
        <v>0</v>
      </c>
      <c r="Y148" t="s">
        <v>616</v>
      </c>
      <c r="Z148" s="4">
        <v>42929</v>
      </c>
      <c r="AA148" t="s">
        <v>6</v>
      </c>
      <c r="AB148" t="s">
        <v>114</v>
      </c>
      <c r="AC148" t="s">
        <v>1334</v>
      </c>
      <c r="AD148" t="s">
        <v>1178</v>
      </c>
      <c r="AE148" t="s">
        <v>1365</v>
      </c>
      <c r="AF148" t="s">
        <v>1376</v>
      </c>
      <c r="AG148" s="6">
        <v>0.22</v>
      </c>
      <c r="AH148" s="2">
        <v>0.01</v>
      </c>
      <c r="AI148" s="5">
        <v>11.6</v>
      </c>
      <c r="AJ148" s="5">
        <v>9.3000000000000007</v>
      </c>
      <c r="AK148" s="5" t="s">
        <v>443</v>
      </c>
      <c r="AL148" s="5">
        <v>9.6999999999999993</v>
      </c>
      <c r="AM148" s="5">
        <v>23.6</v>
      </c>
      <c r="AN148" s="5">
        <v>7.96</v>
      </c>
      <c r="AO148" s="2">
        <v>136.30000000000001</v>
      </c>
      <c r="AP148" s="5" t="s">
        <v>443</v>
      </c>
      <c r="AQ148" s="2">
        <v>326.02800000000002</v>
      </c>
      <c r="AR148" s="2" t="s">
        <v>1371</v>
      </c>
      <c r="AS148" t="s">
        <v>1334</v>
      </c>
    </row>
    <row r="149" spans="1:45" x14ac:dyDescent="0.35">
      <c r="A149" t="s">
        <v>66</v>
      </c>
      <c r="B149" t="s">
        <v>976</v>
      </c>
      <c r="C149" t="s">
        <v>1065</v>
      </c>
      <c r="D149" s="2" t="s">
        <v>592</v>
      </c>
      <c r="E149" s="2" t="s">
        <v>1368</v>
      </c>
      <c r="F149" s="2" t="s">
        <v>718</v>
      </c>
      <c r="G149" s="3">
        <v>1567</v>
      </c>
      <c r="H149" s="3">
        <v>9</v>
      </c>
      <c r="I149" s="3">
        <v>15</v>
      </c>
      <c r="J149" s="3">
        <v>18</v>
      </c>
      <c r="K149" s="3">
        <v>1101</v>
      </c>
      <c r="L149" s="3">
        <v>280</v>
      </c>
      <c r="M149" s="3">
        <v>1314</v>
      </c>
      <c r="N149" s="3">
        <v>249</v>
      </c>
      <c r="O149" s="5">
        <v>96.5</v>
      </c>
      <c r="P149" s="5">
        <v>0.3</v>
      </c>
      <c r="Q149" s="5">
        <v>1.1000000000000001</v>
      </c>
      <c r="R149" s="5">
        <v>2.1</v>
      </c>
      <c r="S149" s="5">
        <v>46.5</v>
      </c>
      <c r="T149" s="5">
        <v>8.6999999999999993</v>
      </c>
      <c r="U149" s="5">
        <v>32.299999999999997</v>
      </c>
      <c r="V149" s="5">
        <v>12.4</v>
      </c>
      <c r="W149" s="5">
        <f t="shared" si="4"/>
        <v>44.699999999999996</v>
      </c>
      <c r="X149" s="2">
        <v>3</v>
      </c>
      <c r="Y149" t="s">
        <v>616</v>
      </c>
      <c r="Z149" s="4">
        <v>42943</v>
      </c>
      <c r="AA149" t="s">
        <v>10</v>
      </c>
      <c r="AB149" t="s">
        <v>59</v>
      </c>
      <c r="AC149" t="s">
        <v>1334</v>
      </c>
      <c r="AD149" t="s">
        <v>1128</v>
      </c>
      <c r="AE149" t="s">
        <v>1365</v>
      </c>
      <c r="AF149" t="s">
        <v>1376</v>
      </c>
      <c r="AG149" s="6">
        <v>0.1</v>
      </c>
      <c r="AH149" s="2">
        <v>0.01</v>
      </c>
      <c r="AI149" s="5">
        <v>11.2</v>
      </c>
      <c r="AJ149" s="5">
        <v>9</v>
      </c>
      <c r="AK149" s="5" t="s">
        <v>443</v>
      </c>
      <c r="AL149" s="5">
        <v>9.4</v>
      </c>
      <c r="AM149" s="5">
        <v>22.3</v>
      </c>
      <c r="AN149" s="5">
        <v>10.08</v>
      </c>
      <c r="AO149" s="2">
        <v>153.4</v>
      </c>
      <c r="AP149" s="5" t="s">
        <v>443</v>
      </c>
      <c r="AQ149" s="2">
        <v>126.06100000000001</v>
      </c>
      <c r="AR149" s="2" t="s">
        <v>1371</v>
      </c>
      <c r="AS149" t="s">
        <v>1334</v>
      </c>
    </row>
    <row r="150" spans="1:45" x14ac:dyDescent="0.35">
      <c r="A150" t="s">
        <v>92</v>
      </c>
      <c r="B150" t="s">
        <v>973</v>
      </c>
      <c r="C150" t="s">
        <v>972</v>
      </c>
      <c r="D150" s="2" t="s">
        <v>592</v>
      </c>
      <c r="E150" s="2" t="s">
        <v>1368</v>
      </c>
      <c r="F150" s="2" t="s">
        <v>716</v>
      </c>
      <c r="G150" s="3">
        <v>914</v>
      </c>
      <c r="H150" s="3">
        <v>0</v>
      </c>
      <c r="I150" s="3">
        <v>8</v>
      </c>
      <c r="J150" s="3">
        <v>9</v>
      </c>
      <c r="K150" s="3">
        <v>505</v>
      </c>
      <c r="L150" s="3">
        <v>157</v>
      </c>
      <c r="M150" s="3">
        <v>1213</v>
      </c>
      <c r="N150" s="3">
        <v>73</v>
      </c>
      <c r="O150" s="5">
        <v>97.3</v>
      </c>
      <c r="P150" s="5">
        <v>0</v>
      </c>
      <c r="Q150" s="5">
        <v>0.9</v>
      </c>
      <c r="R150" s="5">
        <v>1.8</v>
      </c>
      <c r="S150" s="5">
        <v>35.799999999999997</v>
      </c>
      <c r="T150" s="5">
        <v>8.1999999999999993</v>
      </c>
      <c r="U150" s="5">
        <v>49.9</v>
      </c>
      <c r="V150" s="5">
        <v>6.1</v>
      </c>
      <c r="W150" s="5">
        <f t="shared" si="4"/>
        <v>56</v>
      </c>
      <c r="X150" s="2">
        <v>1</v>
      </c>
      <c r="Y150" t="s">
        <v>609</v>
      </c>
      <c r="Z150" s="4">
        <v>42943</v>
      </c>
      <c r="AA150" t="s">
        <v>10</v>
      </c>
      <c r="AB150" t="s">
        <v>85</v>
      </c>
      <c r="AC150" t="s">
        <v>1334</v>
      </c>
      <c r="AD150" t="s">
        <v>1165</v>
      </c>
      <c r="AE150" t="s">
        <v>1365</v>
      </c>
      <c r="AF150" t="s">
        <v>1376</v>
      </c>
      <c r="AG150" s="6">
        <v>0.46</v>
      </c>
      <c r="AH150" s="2">
        <v>0.01</v>
      </c>
      <c r="AI150" s="5">
        <v>1.1000000000000001</v>
      </c>
      <c r="AJ150" s="5">
        <v>0.9</v>
      </c>
      <c r="AK150" s="5" t="s">
        <v>443</v>
      </c>
      <c r="AL150" s="5">
        <v>9.6999999999999993</v>
      </c>
      <c r="AM150" s="5">
        <v>20.3</v>
      </c>
      <c r="AN150" s="5">
        <v>9.75</v>
      </c>
      <c r="AO150" s="2">
        <v>164.3</v>
      </c>
      <c r="AP150" s="5" t="s">
        <v>443</v>
      </c>
      <c r="AQ150" s="2">
        <v>212.31299999999999</v>
      </c>
      <c r="AR150" s="2" t="s">
        <v>1371</v>
      </c>
      <c r="AS150" t="s">
        <v>1334</v>
      </c>
    </row>
    <row r="151" spans="1:45" x14ac:dyDescent="0.35">
      <c r="A151" t="s">
        <v>106</v>
      </c>
      <c r="B151" t="s">
        <v>1004</v>
      </c>
      <c r="C151" t="s">
        <v>972</v>
      </c>
      <c r="D151" s="2" t="s">
        <v>592</v>
      </c>
      <c r="E151" s="2" t="s">
        <v>1368</v>
      </c>
      <c r="F151" s="2" t="s">
        <v>716</v>
      </c>
      <c r="G151" s="3">
        <v>1145</v>
      </c>
      <c r="H151" s="3">
        <v>8</v>
      </c>
      <c r="I151" s="3">
        <v>7</v>
      </c>
      <c r="J151" s="3">
        <v>9</v>
      </c>
      <c r="K151" s="3">
        <v>592</v>
      </c>
      <c r="L151" s="3">
        <v>255</v>
      </c>
      <c r="M151" s="3">
        <v>1893</v>
      </c>
      <c r="N151" s="3">
        <v>47</v>
      </c>
      <c r="O151" s="5">
        <v>97.4</v>
      </c>
      <c r="P151" s="5">
        <v>0.4</v>
      </c>
      <c r="Q151" s="5">
        <v>0.7</v>
      </c>
      <c r="R151" s="5">
        <v>1.5</v>
      </c>
      <c r="S151" s="5">
        <v>30.6</v>
      </c>
      <c r="T151" s="5">
        <v>9.6999999999999993</v>
      </c>
      <c r="U151" s="5">
        <v>56.8</v>
      </c>
      <c r="V151" s="5">
        <v>2.9</v>
      </c>
      <c r="W151" s="5">
        <f t="shared" si="4"/>
        <v>59.699999999999996</v>
      </c>
      <c r="X151" s="3">
        <v>-3.31053300533297</v>
      </c>
      <c r="Y151" t="s">
        <v>1352</v>
      </c>
      <c r="Z151" s="4">
        <v>42943</v>
      </c>
      <c r="AA151" t="s">
        <v>27</v>
      </c>
      <c r="AB151" t="s">
        <v>28</v>
      </c>
      <c r="AC151" t="s">
        <v>1334</v>
      </c>
      <c r="AD151" t="s">
        <v>1151</v>
      </c>
      <c r="AE151" t="s">
        <v>1365</v>
      </c>
      <c r="AF151" t="s">
        <v>1376</v>
      </c>
      <c r="AG151" s="6">
        <v>0.15</v>
      </c>
      <c r="AH151" s="2">
        <v>0.01</v>
      </c>
      <c r="AI151" s="5">
        <v>10</v>
      </c>
      <c r="AJ151" s="5">
        <v>8</v>
      </c>
      <c r="AK151" s="5" t="s">
        <v>443</v>
      </c>
      <c r="AL151" s="5">
        <v>9.6</v>
      </c>
      <c r="AM151" s="5">
        <v>21.2</v>
      </c>
      <c r="AN151" s="5">
        <v>10.119999999999999</v>
      </c>
      <c r="AO151" s="2">
        <v>426.1</v>
      </c>
      <c r="AP151" s="5" t="s">
        <v>443</v>
      </c>
      <c r="AQ151" s="2">
        <v>96.3947</v>
      </c>
      <c r="AR151" s="2" t="s">
        <v>1371</v>
      </c>
      <c r="AS151" t="s">
        <v>1334</v>
      </c>
    </row>
    <row r="152" spans="1:45" x14ac:dyDescent="0.35">
      <c r="A152" t="s">
        <v>121</v>
      </c>
      <c r="B152" t="s">
        <v>974</v>
      </c>
      <c r="C152" t="s">
        <v>972</v>
      </c>
      <c r="D152" s="2" t="s">
        <v>592</v>
      </c>
      <c r="E152" s="2" t="s">
        <v>1368</v>
      </c>
      <c r="F152" s="2" t="s">
        <v>716</v>
      </c>
      <c r="G152" s="3">
        <v>1722</v>
      </c>
      <c r="H152" s="3">
        <v>13</v>
      </c>
      <c r="I152" s="3">
        <v>15</v>
      </c>
      <c r="J152" s="3">
        <v>15</v>
      </c>
      <c r="K152" s="3">
        <v>723</v>
      </c>
      <c r="L152" s="3">
        <v>256</v>
      </c>
      <c r="M152" s="3">
        <v>2295</v>
      </c>
      <c r="N152" s="3">
        <v>429</v>
      </c>
      <c r="O152" s="5">
        <v>97</v>
      </c>
      <c r="P152" s="5">
        <v>0.4</v>
      </c>
      <c r="Q152" s="5">
        <v>1</v>
      </c>
      <c r="R152" s="5">
        <v>1.6</v>
      </c>
      <c r="S152" s="5">
        <v>26.3</v>
      </c>
      <c r="T152" s="5">
        <v>6.9</v>
      </c>
      <c r="U152" s="5">
        <v>48.4</v>
      </c>
      <c r="V152" s="5">
        <v>18.399999999999999</v>
      </c>
      <c r="W152" s="5">
        <f t="shared" si="4"/>
        <v>66.8</v>
      </c>
      <c r="X152" s="2">
        <v>0</v>
      </c>
      <c r="Y152" t="s">
        <v>616</v>
      </c>
      <c r="Z152" s="4">
        <v>42943</v>
      </c>
      <c r="AA152" t="s">
        <v>6</v>
      </c>
      <c r="AB152" t="s">
        <v>114</v>
      </c>
      <c r="AC152" t="s">
        <v>1334</v>
      </c>
      <c r="AD152" t="s">
        <v>1182</v>
      </c>
      <c r="AE152" t="s">
        <v>1365</v>
      </c>
      <c r="AF152" t="s">
        <v>1376</v>
      </c>
      <c r="AG152" s="6">
        <v>0.05</v>
      </c>
      <c r="AH152" s="2">
        <v>0.01</v>
      </c>
      <c r="AI152" s="5">
        <v>9.3000000000000007</v>
      </c>
      <c r="AJ152" s="5">
        <v>7.4</v>
      </c>
      <c r="AK152" s="5" t="s">
        <v>443</v>
      </c>
      <c r="AL152" s="5">
        <v>9.8000000000000007</v>
      </c>
      <c r="AM152" s="5">
        <v>19.600000000000001</v>
      </c>
      <c r="AN152" s="5">
        <v>8.98</v>
      </c>
      <c r="AO152" s="2">
        <v>598.6</v>
      </c>
      <c r="AP152" s="5" t="s">
        <v>443</v>
      </c>
      <c r="AQ152" s="2">
        <v>54.853000000000002</v>
      </c>
      <c r="AR152" s="2" t="s">
        <v>1371</v>
      </c>
      <c r="AS152" t="s">
        <v>1334</v>
      </c>
    </row>
    <row r="153" spans="1:45" x14ac:dyDescent="0.35">
      <c r="A153" t="s">
        <v>67</v>
      </c>
      <c r="B153" t="s">
        <v>976</v>
      </c>
      <c r="C153" t="s">
        <v>1065</v>
      </c>
      <c r="D153" s="2" t="s">
        <v>592</v>
      </c>
      <c r="E153" s="2" t="s">
        <v>1368</v>
      </c>
      <c r="F153" s="2" t="s">
        <v>718</v>
      </c>
      <c r="G153" s="3">
        <v>1567</v>
      </c>
      <c r="H153" s="3">
        <v>9</v>
      </c>
      <c r="I153" s="3">
        <v>15</v>
      </c>
      <c r="J153" s="3">
        <v>18</v>
      </c>
      <c r="K153" s="3">
        <v>1101</v>
      </c>
      <c r="L153" s="3">
        <v>280</v>
      </c>
      <c r="M153" s="3">
        <v>1314</v>
      </c>
      <c r="N153" s="3">
        <v>249</v>
      </c>
      <c r="O153" s="5">
        <v>96.5</v>
      </c>
      <c r="P153" s="5">
        <v>0.3</v>
      </c>
      <c r="Q153" s="5">
        <v>1.1000000000000001</v>
      </c>
      <c r="R153" s="5">
        <v>2.1</v>
      </c>
      <c r="S153" s="5">
        <v>46.5</v>
      </c>
      <c r="T153" s="5">
        <v>8.6999999999999993</v>
      </c>
      <c r="U153" s="5">
        <v>32.299999999999997</v>
      </c>
      <c r="V153" s="5">
        <v>12.4</v>
      </c>
      <c r="W153" s="5">
        <f t="shared" ref="W153:W184" si="5">SUM(U153:V153)</f>
        <v>44.699999999999996</v>
      </c>
      <c r="X153" s="2">
        <v>3</v>
      </c>
      <c r="Y153" t="s">
        <v>616</v>
      </c>
      <c r="Z153" s="4">
        <v>42961</v>
      </c>
      <c r="AA153" t="s">
        <v>10</v>
      </c>
      <c r="AB153" t="s">
        <v>59</v>
      </c>
      <c r="AC153" t="s">
        <v>1334</v>
      </c>
      <c r="AD153" t="s">
        <v>1129</v>
      </c>
      <c r="AE153" t="s">
        <v>1365</v>
      </c>
      <c r="AF153" t="s">
        <v>1376</v>
      </c>
      <c r="AG153" s="6">
        <v>0.05</v>
      </c>
      <c r="AH153" s="2">
        <v>0.01</v>
      </c>
      <c r="AI153" s="5">
        <v>15.5</v>
      </c>
      <c r="AJ153" s="5">
        <v>12.4</v>
      </c>
      <c r="AK153" s="5" t="s">
        <v>443</v>
      </c>
      <c r="AL153" s="5">
        <v>9.8000000000000007</v>
      </c>
      <c r="AM153" s="5">
        <v>24.4</v>
      </c>
      <c r="AN153" s="5">
        <v>11.3</v>
      </c>
      <c r="AO153" s="2">
        <v>85.4</v>
      </c>
      <c r="AP153" s="5" t="s">
        <v>443</v>
      </c>
      <c r="AQ153" s="2">
        <v>78.707999999999998</v>
      </c>
      <c r="AR153" s="2" t="s">
        <v>1371</v>
      </c>
      <c r="AS153" t="s">
        <v>1334</v>
      </c>
    </row>
    <row r="154" spans="1:45" x14ac:dyDescent="0.35">
      <c r="A154" t="s">
        <v>81</v>
      </c>
      <c r="B154" t="s">
        <v>977</v>
      </c>
      <c r="C154" t="s">
        <v>972</v>
      </c>
      <c r="D154" s="2" t="s">
        <v>592</v>
      </c>
      <c r="E154" s="2" t="s">
        <v>1368</v>
      </c>
      <c r="F154" s="2" t="s">
        <v>716</v>
      </c>
      <c r="G154" s="3">
        <v>1192</v>
      </c>
      <c r="H154" s="3">
        <v>12</v>
      </c>
      <c r="I154" s="3">
        <v>15</v>
      </c>
      <c r="J154" s="3">
        <v>16</v>
      </c>
      <c r="K154" s="3">
        <v>680</v>
      </c>
      <c r="L154" s="3">
        <v>183</v>
      </c>
      <c r="M154" s="3">
        <v>1290</v>
      </c>
      <c r="N154" s="3">
        <v>296</v>
      </c>
      <c r="O154" s="5">
        <v>95.6</v>
      </c>
      <c r="P154" s="5">
        <v>0.6</v>
      </c>
      <c r="Q154" s="5">
        <v>1.4</v>
      </c>
      <c r="R154" s="5">
        <v>2.4</v>
      </c>
      <c r="S154" s="5">
        <v>35.5</v>
      </c>
      <c r="T154" s="5">
        <v>7.1</v>
      </c>
      <c r="U154" s="5">
        <v>39.1</v>
      </c>
      <c r="V154" s="5">
        <v>18.3</v>
      </c>
      <c r="W154" s="5">
        <f t="shared" si="5"/>
        <v>57.400000000000006</v>
      </c>
      <c r="X154" s="2">
        <v>0</v>
      </c>
      <c r="Y154" t="s">
        <v>616</v>
      </c>
      <c r="Z154" s="4">
        <v>42961</v>
      </c>
      <c r="AA154" t="s">
        <v>74</v>
      </c>
      <c r="AB154" t="s">
        <v>75</v>
      </c>
      <c r="AC154" t="s">
        <v>1334</v>
      </c>
      <c r="AD154" t="s">
        <v>1141</v>
      </c>
      <c r="AE154" t="s">
        <v>1365</v>
      </c>
      <c r="AF154" t="s">
        <v>1376</v>
      </c>
      <c r="AG154" s="6">
        <v>0.05</v>
      </c>
      <c r="AH154" s="2">
        <v>0.01</v>
      </c>
      <c r="AI154" s="5">
        <v>8.8000000000000007</v>
      </c>
      <c r="AJ154" s="5">
        <v>7</v>
      </c>
      <c r="AK154" s="5" t="s">
        <v>443</v>
      </c>
      <c r="AL154" s="5">
        <v>9.8000000000000007</v>
      </c>
      <c r="AM154" s="5">
        <v>27.8</v>
      </c>
      <c r="AN154" s="5">
        <v>14.2</v>
      </c>
      <c r="AO154" s="2">
        <v>498.4</v>
      </c>
      <c r="AP154" s="5" t="s">
        <v>443</v>
      </c>
      <c r="AQ154" s="2">
        <v>69.938100000000006</v>
      </c>
      <c r="AR154" s="2" t="s">
        <v>1371</v>
      </c>
      <c r="AS154" t="s">
        <v>1334</v>
      </c>
    </row>
    <row r="155" spans="1:45" x14ac:dyDescent="0.35">
      <c r="A155" t="s">
        <v>93</v>
      </c>
      <c r="B155" t="s">
        <v>973</v>
      </c>
      <c r="C155" t="s">
        <v>972</v>
      </c>
      <c r="D155" s="2" t="s">
        <v>592</v>
      </c>
      <c r="E155" s="2" t="s">
        <v>1368</v>
      </c>
      <c r="F155" s="2" t="s">
        <v>716</v>
      </c>
      <c r="G155" s="3">
        <v>914</v>
      </c>
      <c r="H155" s="3">
        <v>0</v>
      </c>
      <c r="I155" s="3">
        <v>8</v>
      </c>
      <c r="J155" s="3">
        <v>9</v>
      </c>
      <c r="K155" s="3">
        <v>505</v>
      </c>
      <c r="L155" s="3">
        <v>157</v>
      </c>
      <c r="M155" s="3">
        <v>1213</v>
      </c>
      <c r="N155" s="3">
        <v>73</v>
      </c>
      <c r="O155" s="5">
        <v>97.3</v>
      </c>
      <c r="P155" s="5">
        <v>0</v>
      </c>
      <c r="Q155" s="5">
        <v>0.9</v>
      </c>
      <c r="R155" s="5">
        <v>1.8</v>
      </c>
      <c r="S155" s="5">
        <v>35.799999999999997</v>
      </c>
      <c r="T155" s="5">
        <v>8.1999999999999993</v>
      </c>
      <c r="U155" s="5">
        <v>49.9</v>
      </c>
      <c r="V155" s="5">
        <v>6.1</v>
      </c>
      <c r="W155" s="5">
        <f t="shared" si="5"/>
        <v>56</v>
      </c>
      <c r="X155" s="2">
        <v>1</v>
      </c>
      <c r="Y155" t="s">
        <v>609</v>
      </c>
      <c r="Z155" s="4">
        <v>42961</v>
      </c>
      <c r="AA155" t="s">
        <v>10</v>
      </c>
      <c r="AB155" t="s">
        <v>85</v>
      </c>
      <c r="AC155" t="s">
        <v>1334</v>
      </c>
      <c r="AD155" t="s">
        <v>1166</v>
      </c>
      <c r="AE155" t="s">
        <v>1365</v>
      </c>
      <c r="AF155" t="s">
        <v>1376</v>
      </c>
      <c r="AG155" s="6">
        <v>0.08</v>
      </c>
      <c r="AH155" s="2">
        <v>0.01</v>
      </c>
      <c r="AI155" s="5">
        <v>10.4</v>
      </c>
      <c r="AJ155" s="5">
        <v>8.4</v>
      </c>
      <c r="AK155" s="5" t="s">
        <v>443</v>
      </c>
      <c r="AL155" s="5">
        <v>9.8000000000000007</v>
      </c>
      <c r="AM155" s="5">
        <v>25.5</v>
      </c>
      <c r="AN155" s="5">
        <v>14.68</v>
      </c>
      <c r="AO155" s="2">
        <v>183.3</v>
      </c>
      <c r="AP155" s="5" t="s">
        <v>443</v>
      </c>
      <c r="AQ155" s="2">
        <v>217.977</v>
      </c>
      <c r="AR155" s="2" t="s">
        <v>1371</v>
      </c>
      <c r="AS155" t="s">
        <v>1334</v>
      </c>
    </row>
    <row r="156" spans="1:45" x14ac:dyDescent="0.35">
      <c r="A156" t="s">
        <v>107</v>
      </c>
      <c r="B156" t="s">
        <v>1004</v>
      </c>
      <c r="C156" t="s">
        <v>972</v>
      </c>
      <c r="D156" s="2" t="s">
        <v>592</v>
      </c>
      <c r="E156" s="2" t="s">
        <v>1368</v>
      </c>
      <c r="F156" s="2" t="s">
        <v>716</v>
      </c>
      <c r="G156" s="3">
        <v>1145</v>
      </c>
      <c r="H156" s="3">
        <v>8</v>
      </c>
      <c r="I156" s="3">
        <v>7</v>
      </c>
      <c r="J156" s="3">
        <v>9</v>
      </c>
      <c r="K156" s="3">
        <v>592</v>
      </c>
      <c r="L156" s="3">
        <v>255</v>
      </c>
      <c r="M156" s="3">
        <v>1893</v>
      </c>
      <c r="N156" s="3">
        <v>47</v>
      </c>
      <c r="O156" s="5">
        <v>97.4</v>
      </c>
      <c r="P156" s="5">
        <v>0.4</v>
      </c>
      <c r="Q156" s="5">
        <v>0.7</v>
      </c>
      <c r="R156" s="5">
        <v>1.5</v>
      </c>
      <c r="S156" s="5">
        <v>30.6</v>
      </c>
      <c r="T156" s="5">
        <v>9.6999999999999993</v>
      </c>
      <c r="U156" s="5">
        <v>56.8</v>
      </c>
      <c r="V156" s="5">
        <v>2.9</v>
      </c>
      <c r="W156" s="5">
        <f t="shared" si="5"/>
        <v>59.699999999999996</v>
      </c>
      <c r="X156" s="3">
        <v>-3.31053300533297</v>
      </c>
      <c r="Y156" t="s">
        <v>1352</v>
      </c>
      <c r="Z156" s="4">
        <v>42961</v>
      </c>
      <c r="AA156" t="s">
        <v>27</v>
      </c>
      <c r="AB156" t="s">
        <v>28</v>
      </c>
      <c r="AC156" t="s">
        <v>1334</v>
      </c>
      <c r="AD156" t="s">
        <v>1152</v>
      </c>
      <c r="AE156" t="s">
        <v>1365</v>
      </c>
      <c r="AF156" t="s">
        <v>1376</v>
      </c>
      <c r="AG156" s="6">
        <v>0.04</v>
      </c>
      <c r="AH156" s="2">
        <v>0.01</v>
      </c>
      <c r="AI156" s="5">
        <v>11.2</v>
      </c>
      <c r="AJ156" s="5">
        <v>9</v>
      </c>
      <c r="AK156" s="5" t="s">
        <v>443</v>
      </c>
      <c r="AL156" s="5">
        <v>9.6999999999999993</v>
      </c>
      <c r="AM156" s="5">
        <v>28.1</v>
      </c>
      <c r="AN156" s="5">
        <v>12.3</v>
      </c>
      <c r="AO156" s="2">
        <v>672.6</v>
      </c>
      <c r="AP156" s="5" t="s">
        <v>443</v>
      </c>
      <c r="AQ156" s="2">
        <v>367.15</v>
      </c>
      <c r="AR156" s="2" t="s">
        <v>1371</v>
      </c>
      <c r="AS156" t="s">
        <v>1334</v>
      </c>
    </row>
    <row r="157" spans="1:45" x14ac:dyDescent="0.35">
      <c r="A157" t="s">
        <v>122</v>
      </c>
      <c r="B157" t="s">
        <v>974</v>
      </c>
      <c r="C157" t="s">
        <v>972</v>
      </c>
      <c r="D157" s="2" t="s">
        <v>592</v>
      </c>
      <c r="E157" s="2" t="s">
        <v>1368</v>
      </c>
      <c r="F157" s="2" t="s">
        <v>716</v>
      </c>
      <c r="G157" s="3">
        <v>1722</v>
      </c>
      <c r="H157" s="3">
        <v>13</v>
      </c>
      <c r="I157" s="3">
        <v>15</v>
      </c>
      <c r="J157" s="3">
        <v>15</v>
      </c>
      <c r="K157" s="3">
        <v>723</v>
      </c>
      <c r="L157" s="3">
        <v>256</v>
      </c>
      <c r="M157" s="3">
        <v>2295</v>
      </c>
      <c r="N157" s="3">
        <v>429</v>
      </c>
      <c r="O157" s="5">
        <v>97</v>
      </c>
      <c r="P157" s="5">
        <v>0.4</v>
      </c>
      <c r="Q157" s="5">
        <v>1</v>
      </c>
      <c r="R157" s="5">
        <v>1.6</v>
      </c>
      <c r="S157" s="5">
        <v>26.3</v>
      </c>
      <c r="T157" s="5">
        <v>6.9</v>
      </c>
      <c r="U157" s="5">
        <v>48.4</v>
      </c>
      <c r="V157" s="5">
        <v>18.399999999999999</v>
      </c>
      <c r="W157" s="5">
        <f t="shared" si="5"/>
        <v>66.8</v>
      </c>
      <c r="X157" s="2">
        <v>0</v>
      </c>
      <c r="Y157" t="s">
        <v>616</v>
      </c>
      <c r="Z157" s="4">
        <v>42961</v>
      </c>
      <c r="AA157" t="s">
        <v>6</v>
      </c>
      <c r="AB157" t="s">
        <v>114</v>
      </c>
      <c r="AC157" t="s">
        <v>1334</v>
      </c>
      <c r="AD157" t="s">
        <v>1183</v>
      </c>
      <c r="AE157" t="s">
        <v>1365</v>
      </c>
      <c r="AF157" t="s">
        <v>1376</v>
      </c>
      <c r="AG157" s="6">
        <v>0.08</v>
      </c>
      <c r="AH157" s="2">
        <v>0.01</v>
      </c>
      <c r="AI157" s="5">
        <v>12.9</v>
      </c>
      <c r="AJ157" s="5">
        <v>10.3</v>
      </c>
      <c r="AK157" s="5" t="s">
        <v>443</v>
      </c>
      <c r="AL157" s="5">
        <v>9.8000000000000007</v>
      </c>
      <c r="AM157" s="5">
        <v>27.2</v>
      </c>
      <c r="AN157" s="5">
        <v>8.99</v>
      </c>
      <c r="AO157" s="2">
        <v>51.3</v>
      </c>
      <c r="AP157" s="5" t="s">
        <v>443</v>
      </c>
      <c r="AQ157" s="2">
        <v>610.94500000000005</v>
      </c>
      <c r="AR157" s="2" t="s">
        <v>1371</v>
      </c>
      <c r="AS157" t="s">
        <v>1334</v>
      </c>
    </row>
    <row r="158" spans="1:45" x14ac:dyDescent="0.35">
      <c r="A158" t="s">
        <v>68</v>
      </c>
      <c r="B158" t="s">
        <v>976</v>
      </c>
      <c r="C158" t="s">
        <v>1065</v>
      </c>
      <c r="D158" s="2" t="s">
        <v>592</v>
      </c>
      <c r="E158" s="2" t="s">
        <v>1368</v>
      </c>
      <c r="F158" s="2" t="s">
        <v>718</v>
      </c>
      <c r="G158" s="3">
        <v>1567</v>
      </c>
      <c r="H158" s="3">
        <v>9</v>
      </c>
      <c r="I158" s="3">
        <v>15</v>
      </c>
      <c r="J158" s="3">
        <v>18</v>
      </c>
      <c r="K158" s="3">
        <v>1101</v>
      </c>
      <c r="L158" s="3">
        <v>280</v>
      </c>
      <c r="M158" s="3">
        <v>1314</v>
      </c>
      <c r="N158" s="3">
        <v>249</v>
      </c>
      <c r="O158" s="5">
        <v>96.5</v>
      </c>
      <c r="P158" s="5">
        <v>0.3</v>
      </c>
      <c r="Q158" s="5">
        <v>1.1000000000000001</v>
      </c>
      <c r="R158" s="5">
        <v>2.1</v>
      </c>
      <c r="S158" s="5">
        <v>46.5</v>
      </c>
      <c r="T158" s="5">
        <v>8.6999999999999993</v>
      </c>
      <c r="U158" s="5">
        <v>32.299999999999997</v>
      </c>
      <c r="V158" s="5">
        <v>12.4</v>
      </c>
      <c r="W158" s="5">
        <f t="shared" si="5"/>
        <v>44.699999999999996</v>
      </c>
      <c r="X158" s="2">
        <v>3</v>
      </c>
      <c r="Y158" t="s">
        <v>616</v>
      </c>
      <c r="Z158" s="4">
        <v>42976</v>
      </c>
      <c r="AA158" t="s">
        <v>10</v>
      </c>
      <c r="AB158" t="s">
        <v>59</v>
      </c>
      <c r="AC158" t="s">
        <v>1334</v>
      </c>
      <c r="AD158" t="s">
        <v>1130</v>
      </c>
      <c r="AE158" t="s">
        <v>1365</v>
      </c>
      <c r="AF158" t="s">
        <v>1376</v>
      </c>
      <c r="AG158" s="6">
        <v>5.0000000000000001E-3</v>
      </c>
      <c r="AH158" s="2">
        <v>0.01</v>
      </c>
      <c r="AI158" s="5">
        <v>29.1</v>
      </c>
      <c r="AJ158" s="5">
        <v>23.3</v>
      </c>
      <c r="AK158" s="5" t="s">
        <v>443</v>
      </c>
      <c r="AL158" s="5">
        <v>9.6999999999999993</v>
      </c>
      <c r="AM158" s="5">
        <v>25.7</v>
      </c>
      <c r="AN158" s="5">
        <v>9.8000000000000007</v>
      </c>
      <c r="AO158" s="2">
        <v>13.2</v>
      </c>
      <c r="AP158" s="5" t="s">
        <v>443</v>
      </c>
      <c r="AQ158" s="2">
        <v>1266.3800000000001</v>
      </c>
      <c r="AR158" s="2" t="s">
        <v>1371</v>
      </c>
      <c r="AS158" t="s">
        <v>1334</v>
      </c>
    </row>
    <row r="159" spans="1:45" x14ac:dyDescent="0.35">
      <c r="A159" t="s">
        <v>94</v>
      </c>
      <c r="B159" t="s">
        <v>973</v>
      </c>
      <c r="C159" t="s">
        <v>972</v>
      </c>
      <c r="D159" s="2" t="s">
        <v>592</v>
      </c>
      <c r="E159" s="2" t="s">
        <v>1368</v>
      </c>
      <c r="F159" s="2" t="s">
        <v>716</v>
      </c>
      <c r="G159" s="3">
        <v>914</v>
      </c>
      <c r="H159" s="3">
        <v>0</v>
      </c>
      <c r="I159" s="3">
        <v>8</v>
      </c>
      <c r="J159" s="3">
        <v>9</v>
      </c>
      <c r="K159" s="3">
        <v>505</v>
      </c>
      <c r="L159" s="3">
        <v>157</v>
      </c>
      <c r="M159" s="3">
        <v>1213</v>
      </c>
      <c r="N159" s="3">
        <v>73</v>
      </c>
      <c r="O159" s="5">
        <v>97.3</v>
      </c>
      <c r="P159" s="5">
        <v>0</v>
      </c>
      <c r="Q159" s="5">
        <v>0.9</v>
      </c>
      <c r="R159" s="5">
        <v>1.8</v>
      </c>
      <c r="S159" s="5">
        <v>35.799999999999997</v>
      </c>
      <c r="T159" s="5">
        <v>8.1999999999999993</v>
      </c>
      <c r="U159" s="5">
        <v>49.9</v>
      </c>
      <c r="V159" s="5">
        <v>6.1</v>
      </c>
      <c r="W159" s="5">
        <f t="shared" si="5"/>
        <v>56</v>
      </c>
      <c r="X159" s="2">
        <v>1</v>
      </c>
      <c r="Y159" t="s">
        <v>609</v>
      </c>
      <c r="Z159" s="4">
        <v>42976</v>
      </c>
      <c r="AA159" t="s">
        <v>10</v>
      </c>
      <c r="AB159" t="s">
        <v>85</v>
      </c>
      <c r="AC159" t="s">
        <v>1334</v>
      </c>
      <c r="AD159" t="s">
        <v>1167</v>
      </c>
      <c r="AE159" t="s">
        <v>1365</v>
      </c>
      <c r="AF159" t="s">
        <v>1376</v>
      </c>
      <c r="AG159" s="6">
        <v>7.0000000000000007E-2</v>
      </c>
      <c r="AH159" s="2">
        <v>0.01</v>
      </c>
      <c r="AI159" s="5">
        <v>15.8</v>
      </c>
      <c r="AJ159" s="5">
        <v>12.6</v>
      </c>
      <c r="AK159" s="5" t="s">
        <v>443</v>
      </c>
      <c r="AL159" s="5">
        <v>9.6999999999999993</v>
      </c>
      <c r="AM159" s="5">
        <v>27</v>
      </c>
      <c r="AN159" s="5">
        <v>12.52</v>
      </c>
      <c r="AO159" s="2">
        <v>106.5</v>
      </c>
      <c r="AP159" s="5" t="s">
        <v>443</v>
      </c>
      <c r="AQ159" s="2">
        <v>359.387</v>
      </c>
      <c r="AR159" s="2" t="s">
        <v>1371</v>
      </c>
      <c r="AS159" t="s">
        <v>1334</v>
      </c>
    </row>
    <row r="160" spans="1:45" x14ac:dyDescent="0.35">
      <c r="A160" t="s">
        <v>108</v>
      </c>
      <c r="B160" t="s">
        <v>1004</v>
      </c>
      <c r="C160" t="s">
        <v>972</v>
      </c>
      <c r="D160" s="2" t="s">
        <v>592</v>
      </c>
      <c r="E160" s="2" t="s">
        <v>1368</v>
      </c>
      <c r="F160" s="2" t="s">
        <v>716</v>
      </c>
      <c r="G160" s="3">
        <v>1145</v>
      </c>
      <c r="H160" s="3">
        <v>8</v>
      </c>
      <c r="I160" s="3">
        <v>7</v>
      </c>
      <c r="J160" s="3">
        <v>9</v>
      </c>
      <c r="K160" s="3">
        <v>592</v>
      </c>
      <c r="L160" s="3">
        <v>255</v>
      </c>
      <c r="M160" s="3">
        <v>1893</v>
      </c>
      <c r="N160" s="3">
        <v>47</v>
      </c>
      <c r="O160" s="5">
        <v>97.4</v>
      </c>
      <c r="P160" s="5">
        <v>0.4</v>
      </c>
      <c r="Q160" s="5">
        <v>0.7</v>
      </c>
      <c r="R160" s="5">
        <v>1.5</v>
      </c>
      <c r="S160" s="5">
        <v>30.6</v>
      </c>
      <c r="T160" s="5">
        <v>9.6999999999999993</v>
      </c>
      <c r="U160" s="5">
        <v>56.8</v>
      </c>
      <c r="V160" s="5">
        <v>2.9</v>
      </c>
      <c r="W160" s="5">
        <f t="shared" si="5"/>
        <v>59.699999999999996</v>
      </c>
      <c r="X160" s="3">
        <v>-3.31053300533297</v>
      </c>
      <c r="Y160" t="s">
        <v>1352</v>
      </c>
      <c r="Z160" s="4">
        <v>42976</v>
      </c>
      <c r="AA160" t="s">
        <v>27</v>
      </c>
      <c r="AB160" t="s">
        <v>28</v>
      </c>
      <c r="AC160" t="s">
        <v>1334</v>
      </c>
      <c r="AD160" t="s">
        <v>1153</v>
      </c>
      <c r="AE160" t="s">
        <v>1365</v>
      </c>
      <c r="AF160" t="s">
        <v>1376</v>
      </c>
      <c r="AG160" s="6">
        <v>0.02</v>
      </c>
      <c r="AH160" s="2">
        <v>0.01</v>
      </c>
      <c r="AI160" s="5">
        <v>16.399999999999999</v>
      </c>
      <c r="AJ160" s="5">
        <v>13.1</v>
      </c>
      <c r="AK160" s="5" t="s">
        <v>443</v>
      </c>
      <c r="AL160" s="5">
        <v>9.9</v>
      </c>
      <c r="AM160" s="5">
        <v>25.9</v>
      </c>
      <c r="AN160" s="5">
        <v>4.96</v>
      </c>
      <c r="AO160" s="5" t="s">
        <v>443</v>
      </c>
      <c r="AP160" s="5" t="s">
        <v>443</v>
      </c>
      <c r="AQ160" s="2">
        <v>1281.7</v>
      </c>
      <c r="AR160" s="2" t="s">
        <v>1370</v>
      </c>
      <c r="AS160" t="s">
        <v>1334</v>
      </c>
    </row>
    <row r="161" spans="1:45" x14ac:dyDescent="0.35">
      <c r="A161" t="s">
        <v>123</v>
      </c>
      <c r="B161" t="s">
        <v>974</v>
      </c>
      <c r="C161" t="s">
        <v>972</v>
      </c>
      <c r="D161" s="2" t="s">
        <v>592</v>
      </c>
      <c r="E161" s="2" t="s">
        <v>1368</v>
      </c>
      <c r="F161" s="2" t="s">
        <v>716</v>
      </c>
      <c r="G161" s="3">
        <v>1722</v>
      </c>
      <c r="H161" s="3">
        <v>13</v>
      </c>
      <c r="I161" s="3">
        <v>15</v>
      </c>
      <c r="J161" s="3">
        <v>15</v>
      </c>
      <c r="K161" s="3">
        <v>723</v>
      </c>
      <c r="L161" s="3">
        <v>256</v>
      </c>
      <c r="M161" s="3">
        <v>2295</v>
      </c>
      <c r="N161" s="3">
        <v>429</v>
      </c>
      <c r="O161" s="5">
        <v>97</v>
      </c>
      <c r="P161" s="5">
        <v>0.4</v>
      </c>
      <c r="Q161" s="5">
        <v>1</v>
      </c>
      <c r="R161" s="5">
        <v>1.6</v>
      </c>
      <c r="S161" s="5">
        <v>26.3</v>
      </c>
      <c r="T161" s="5">
        <v>6.9</v>
      </c>
      <c r="U161" s="5">
        <v>48.4</v>
      </c>
      <c r="V161" s="5">
        <v>18.399999999999999</v>
      </c>
      <c r="W161" s="5">
        <f t="shared" si="5"/>
        <v>66.8</v>
      </c>
      <c r="X161" s="2">
        <v>0</v>
      </c>
      <c r="Y161" t="s">
        <v>616</v>
      </c>
      <c r="Z161" s="4">
        <v>42976</v>
      </c>
      <c r="AA161" t="s">
        <v>6</v>
      </c>
      <c r="AB161" t="s">
        <v>114</v>
      </c>
      <c r="AC161" t="s">
        <v>1334</v>
      </c>
      <c r="AD161" t="s">
        <v>1179</v>
      </c>
      <c r="AE161" t="s">
        <v>1365</v>
      </c>
      <c r="AF161" t="s">
        <v>1376</v>
      </c>
      <c r="AG161" s="6">
        <v>1.4999999999999999E-2</v>
      </c>
      <c r="AH161" s="2">
        <v>0.01</v>
      </c>
      <c r="AI161" s="5">
        <v>34.700000000000003</v>
      </c>
      <c r="AJ161" s="5">
        <v>27.8</v>
      </c>
      <c r="AK161" s="5" t="s">
        <v>443</v>
      </c>
      <c r="AL161" s="5">
        <v>10</v>
      </c>
      <c r="AM161" s="5">
        <v>24.9</v>
      </c>
      <c r="AN161" s="5">
        <v>12.26</v>
      </c>
      <c r="AO161" s="2">
        <v>588.70000000000005</v>
      </c>
      <c r="AP161" s="5" t="s">
        <v>443</v>
      </c>
      <c r="AQ161" s="2">
        <v>3341.15</v>
      </c>
      <c r="AR161" s="2" t="s">
        <v>1371</v>
      </c>
      <c r="AS161" t="s">
        <v>1334</v>
      </c>
    </row>
    <row r="162" spans="1:45" x14ac:dyDescent="0.35">
      <c r="A162" t="s">
        <v>69</v>
      </c>
      <c r="B162" t="s">
        <v>976</v>
      </c>
      <c r="C162" t="s">
        <v>1065</v>
      </c>
      <c r="D162" s="2" t="s">
        <v>592</v>
      </c>
      <c r="E162" s="2" t="s">
        <v>1368</v>
      </c>
      <c r="F162" s="2" t="s">
        <v>718</v>
      </c>
      <c r="G162" s="3">
        <v>1567</v>
      </c>
      <c r="H162" s="3">
        <v>9</v>
      </c>
      <c r="I162" s="3">
        <v>15</v>
      </c>
      <c r="J162" s="3">
        <v>18</v>
      </c>
      <c r="K162" s="3">
        <v>1101</v>
      </c>
      <c r="L162" s="3">
        <v>280</v>
      </c>
      <c r="M162" s="3">
        <v>1314</v>
      </c>
      <c r="N162" s="3">
        <v>249</v>
      </c>
      <c r="O162" s="5">
        <v>96.5</v>
      </c>
      <c r="P162" s="5">
        <v>0.3</v>
      </c>
      <c r="Q162" s="5">
        <v>1.1000000000000001</v>
      </c>
      <c r="R162" s="5">
        <v>2.1</v>
      </c>
      <c r="S162" s="5">
        <v>46.5</v>
      </c>
      <c r="T162" s="5">
        <v>8.6999999999999993</v>
      </c>
      <c r="U162" s="5">
        <v>32.299999999999997</v>
      </c>
      <c r="V162" s="5">
        <v>12.4</v>
      </c>
      <c r="W162" s="5">
        <f t="shared" si="5"/>
        <v>44.699999999999996</v>
      </c>
      <c r="X162" s="2">
        <v>3</v>
      </c>
      <c r="Y162" t="s">
        <v>616</v>
      </c>
      <c r="Z162" s="4">
        <v>42989</v>
      </c>
      <c r="AA162" t="s">
        <v>10</v>
      </c>
      <c r="AB162" t="s">
        <v>59</v>
      </c>
      <c r="AC162" t="s">
        <v>1334</v>
      </c>
      <c r="AD162" t="s">
        <v>1131</v>
      </c>
      <c r="AE162" t="s">
        <v>1365</v>
      </c>
      <c r="AF162" t="s">
        <v>1376</v>
      </c>
      <c r="AG162" s="6">
        <v>3.5000000000000003E-2</v>
      </c>
      <c r="AH162" s="2">
        <v>0.01</v>
      </c>
      <c r="AI162" s="5">
        <v>23.5</v>
      </c>
      <c r="AJ162" s="5">
        <v>18.8</v>
      </c>
      <c r="AK162" s="5" t="s">
        <v>443</v>
      </c>
      <c r="AL162" s="5">
        <v>9.6999999999999993</v>
      </c>
      <c r="AM162" s="5">
        <v>24.8</v>
      </c>
      <c r="AN162" s="5">
        <v>15.98</v>
      </c>
      <c r="AO162" s="2">
        <v>264.2</v>
      </c>
      <c r="AP162" s="5" t="s">
        <v>443</v>
      </c>
      <c r="AQ162" s="2">
        <v>545.27499999999998</v>
      </c>
      <c r="AR162" s="2" t="s">
        <v>1371</v>
      </c>
      <c r="AS162" t="s">
        <v>1334</v>
      </c>
    </row>
    <row r="163" spans="1:45" x14ac:dyDescent="0.35">
      <c r="A163" t="s">
        <v>95</v>
      </c>
      <c r="B163" t="s">
        <v>973</v>
      </c>
      <c r="C163" t="s">
        <v>972</v>
      </c>
      <c r="D163" s="2" t="s">
        <v>592</v>
      </c>
      <c r="E163" s="2" t="s">
        <v>1368</v>
      </c>
      <c r="F163" s="2" t="s">
        <v>716</v>
      </c>
      <c r="G163" s="3">
        <v>914</v>
      </c>
      <c r="H163" s="3">
        <v>0</v>
      </c>
      <c r="I163" s="3">
        <v>8</v>
      </c>
      <c r="J163" s="3">
        <v>9</v>
      </c>
      <c r="K163" s="3">
        <v>505</v>
      </c>
      <c r="L163" s="3">
        <v>157</v>
      </c>
      <c r="M163" s="3">
        <v>1213</v>
      </c>
      <c r="N163" s="3">
        <v>73</v>
      </c>
      <c r="O163" s="5">
        <v>97.3</v>
      </c>
      <c r="P163" s="5">
        <v>0</v>
      </c>
      <c r="Q163" s="5">
        <v>0.9</v>
      </c>
      <c r="R163" s="5">
        <v>1.8</v>
      </c>
      <c r="S163" s="5">
        <v>35.799999999999997</v>
      </c>
      <c r="T163" s="5">
        <v>8.1999999999999993</v>
      </c>
      <c r="U163" s="5">
        <v>49.9</v>
      </c>
      <c r="V163" s="5">
        <v>6.1</v>
      </c>
      <c r="W163" s="5">
        <f t="shared" si="5"/>
        <v>56</v>
      </c>
      <c r="X163" s="2">
        <v>1</v>
      </c>
      <c r="Y163" t="s">
        <v>609</v>
      </c>
      <c r="Z163" s="4">
        <v>42989</v>
      </c>
      <c r="AA163" t="s">
        <v>10</v>
      </c>
      <c r="AB163" t="s">
        <v>85</v>
      </c>
      <c r="AC163" t="s">
        <v>1334</v>
      </c>
      <c r="AD163" t="s">
        <v>1168</v>
      </c>
      <c r="AE163" t="s">
        <v>1365</v>
      </c>
      <c r="AF163" t="s">
        <v>1376</v>
      </c>
      <c r="AG163" s="6">
        <v>0.1</v>
      </c>
      <c r="AH163" s="2">
        <v>0.01</v>
      </c>
      <c r="AI163" s="5">
        <v>18.899999999999999</v>
      </c>
      <c r="AJ163" s="5">
        <v>15.1</v>
      </c>
      <c r="AK163" s="5" t="s">
        <v>443</v>
      </c>
      <c r="AL163" s="5">
        <v>9.5</v>
      </c>
      <c r="AM163" s="5">
        <v>25.4</v>
      </c>
      <c r="AN163" s="5">
        <v>15.22</v>
      </c>
      <c r="AO163" s="2">
        <v>52.3</v>
      </c>
      <c r="AP163" s="5" t="s">
        <v>443</v>
      </c>
      <c r="AQ163" s="2">
        <v>352.88299999999998</v>
      </c>
      <c r="AR163" s="2" t="s">
        <v>1371</v>
      </c>
      <c r="AS163" t="s">
        <v>1334</v>
      </c>
    </row>
    <row r="164" spans="1:45" x14ac:dyDescent="0.35">
      <c r="A164" t="s">
        <v>109</v>
      </c>
      <c r="B164" t="s">
        <v>1004</v>
      </c>
      <c r="C164" t="s">
        <v>972</v>
      </c>
      <c r="D164" s="2" t="s">
        <v>592</v>
      </c>
      <c r="E164" s="2" t="s">
        <v>1368</v>
      </c>
      <c r="F164" s="2" t="s">
        <v>716</v>
      </c>
      <c r="G164" s="3">
        <v>1145</v>
      </c>
      <c r="H164" s="3">
        <v>8</v>
      </c>
      <c r="I164" s="3">
        <v>7</v>
      </c>
      <c r="J164" s="3">
        <v>9</v>
      </c>
      <c r="K164" s="3">
        <v>592</v>
      </c>
      <c r="L164" s="3">
        <v>255</v>
      </c>
      <c r="M164" s="3">
        <v>1893</v>
      </c>
      <c r="N164" s="3">
        <v>47</v>
      </c>
      <c r="O164" s="5">
        <v>97.4</v>
      </c>
      <c r="P164" s="5">
        <v>0.4</v>
      </c>
      <c r="Q164" s="5">
        <v>0.7</v>
      </c>
      <c r="R164" s="5">
        <v>1.5</v>
      </c>
      <c r="S164" s="5">
        <v>30.6</v>
      </c>
      <c r="T164" s="5">
        <v>9.6999999999999993</v>
      </c>
      <c r="U164" s="5">
        <v>56.8</v>
      </c>
      <c r="V164" s="5">
        <v>2.9</v>
      </c>
      <c r="W164" s="5">
        <f t="shared" si="5"/>
        <v>59.699999999999996</v>
      </c>
      <c r="X164" s="3">
        <v>-3.31053300533297</v>
      </c>
      <c r="Y164" t="s">
        <v>1352</v>
      </c>
      <c r="Z164" s="4">
        <v>42989</v>
      </c>
      <c r="AA164" t="s">
        <v>27</v>
      </c>
      <c r="AB164" t="s">
        <v>28</v>
      </c>
      <c r="AC164" t="s">
        <v>1334</v>
      </c>
      <c r="AD164" t="s">
        <v>1154</v>
      </c>
      <c r="AE164" t="s">
        <v>1365</v>
      </c>
      <c r="AF164" t="s">
        <v>1376</v>
      </c>
      <c r="AG164" s="6">
        <v>0.12</v>
      </c>
      <c r="AH164" s="2">
        <v>0.01</v>
      </c>
      <c r="AI164" s="5">
        <v>14.3</v>
      </c>
      <c r="AJ164" s="5">
        <v>11.4</v>
      </c>
      <c r="AK164" s="5" t="s">
        <v>443</v>
      </c>
      <c r="AL164" s="5">
        <v>9.6</v>
      </c>
      <c r="AM164" s="5">
        <v>25.2</v>
      </c>
      <c r="AN164" s="5">
        <v>10.48</v>
      </c>
      <c r="AO164" s="2">
        <v>696.7</v>
      </c>
      <c r="AP164" s="5" t="s">
        <v>443</v>
      </c>
      <c r="AQ164" s="2">
        <v>820.96100000000001</v>
      </c>
      <c r="AR164" s="2" t="s">
        <v>1371</v>
      </c>
      <c r="AS164" t="s">
        <v>1334</v>
      </c>
    </row>
    <row r="165" spans="1:45" x14ac:dyDescent="0.35">
      <c r="A165" t="s">
        <v>70</v>
      </c>
      <c r="B165" t="s">
        <v>976</v>
      </c>
      <c r="C165" t="s">
        <v>1065</v>
      </c>
      <c r="D165" s="2" t="s">
        <v>592</v>
      </c>
      <c r="E165" s="2" t="s">
        <v>1368</v>
      </c>
      <c r="F165" s="2" t="s">
        <v>718</v>
      </c>
      <c r="G165" s="3">
        <v>1567</v>
      </c>
      <c r="H165" s="3">
        <v>9</v>
      </c>
      <c r="I165" s="3">
        <v>15</v>
      </c>
      <c r="J165" s="3">
        <v>18</v>
      </c>
      <c r="K165" s="3">
        <v>1101</v>
      </c>
      <c r="L165" s="3">
        <v>280</v>
      </c>
      <c r="M165" s="3">
        <v>1314</v>
      </c>
      <c r="N165" s="3">
        <v>249</v>
      </c>
      <c r="O165" s="5">
        <v>96.5</v>
      </c>
      <c r="P165" s="5">
        <v>0.3</v>
      </c>
      <c r="Q165" s="5">
        <v>1.1000000000000001</v>
      </c>
      <c r="R165" s="5">
        <v>2.1</v>
      </c>
      <c r="S165" s="5">
        <v>46.5</v>
      </c>
      <c r="T165" s="5">
        <v>8.6999999999999993</v>
      </c>
      <c r="U165" s="5">
        <v>32.299999999999997</v>
      </c>
      <c r="V165" s="5">
        <v>12.4</v>
      </c>
      <c r="W165" s="5">
        <f t="shared" si="5"/>
        <v>44.699999999999996</v>
      </c>
      <c r="X165" s="2">
        <v>3</v>
      </c>
      <c r="Y165" t="s">
        <v>616</v>
      </c>
      <c r="Z165" s="4">
        <v>43005</v>
      </c>
      <c r="AA165" t="s">
        <v>10</v>
      </c>
      <c r="AB165" t="s">
        <v>59</v>
      </c>
      <c r="AC165" t="s">
        <v>1334</v>
      </c>
      <c r="AD165" t="s">
        <v>1132</v>
      </c>
      <c r="AE165" t="s">
        <v>1365</v>
      </c>
      <c r="AF165" t="s">
        <v>1376</v>
      </c>
      <c r="AG165" s="6">
        <v>0.115</v>
      </c>
      <c r="AH165" s="2">
        <v>0.01</v>
      </c>
      <c r="AI165" s="5">
        <v>7.3</v>
      </c>
      <c r="AJ165" s="5">
        <v>5.8</v>
      </c>
      <c r="AK165" s="5" t="s">
        <v>443</v>
      </c>
      <c r="AL165" s="5">
        <v>9.8000000000000007</v>
      </c>
      <c r="AM165" s="5">
        <v>18.2</v>
      </c>
      <c r="AN165" s="5">
        <v>8.58</v>
      </c>
      <c r="AO165" s="2">
        <v>51.1</v>
      </c>
      <c r="AP165" s="5" t="s">
        <v>443</v>
      </c>
      <c r="AQ165" s="2">
        <v>29.0259</v>
      </c>
      <c r="AR165" s="2" t="s">
        <v>1371</v>
      </c>
      <c r="AS165" t="s">
        <v>1334</v>
      </c>
    </row>
    <row r="166" spans="1:45" x14ac:dyDescent="0.35">
      <c r="A166" t="s">
        <v>82</v>
      </c>
      <c r="B166" t="s">
        <v>977</v>
      </c>
      <c r="C166" t="s">
        <v>972</v>
      </c>
      <c r="D166" s="2" t="s">
        <v>592</v>
      </c>
      <c r="E166" s="2" t="s">
        <v>1368</v>
      </c>
      <c r="F166" s="2" t="s">
        <v>716</v>
      </c>
      <c r="G166" s="3">
        <v>1192</v>
      </c>
      <c r="H166" s="3">
        <v>12</v>
      </c>
      <c r="I166" s="3">
        <v>15</v>
      </c>
      <c r="J166" s="3">
        <v>16</v>
      </c>
      <c r="K166" s="3">
        <v>680</v>
      </c>
      <c r="L166" s="3">
        <v>183</v>
      </c>
      <c r="M166" s="3">
        <v>1290</v>
      </c>
      <c r="N166" s="3">
        <v>296</v>
      </c>
      <c r="O166" s="5">
        <v>95.6</v>
      </c>
      <c r="P166" s="5">
        <v>0.6</v>
      </c>
      <c r="Q166" s="5">
        <v>1.4</v>
      </c>
      <c r="R166" s="5">
        <v>2.4</v>
      </c>
      <c r="S166" s="5">
        <v>35.5</v>
      </c>
      <c r="T166" s="5">
        <v>7.1</v>
      </c>
      <c r="U166" s="5">
        <v>39.1</v>
      </c>
      <c r="V166" s="5">
        <v>18.3</v>
      </c>
      <c r="W166" s="5">
        <f t="shared" si="5"/>
        <v>57.400000000000006</v>
      </c>
      <c r="X166" s="2">
        <v>0</v>
      </c>
      <c r="Y166" t="s">
        <v>616</v>
      </c>
      <c r="Z166" s="4">
        <v>43005</v>
      </c>
      <c r="AA166" t="s">
        <v>74</v>
      </c>
      <c r="AB166" t="s">
        <v>75</v>
      </c>
      <c r="AC166" t="s">
        <v>1334</v>
      </c>
      <c r="AD166" t="s">
        <v>1142</v>
      </c>
      <c r="AE166" t="s">
        <v>1365</v>
      </c>
      <c r="AF166" t="s">
        <v>1376</v>
      </c>
      <c r="AG166" s="6">
        <v>0.02</v>
      </c>
      <c r="AH166" s="2">
        <v>0.01</v>
      </c>
      <c r="AI166" s="5">
        <v>5.0999999999999996</v>
      </c>
      <c r="AJ166" s="5">
        <v>4.0999999999999996</v>
      </c>
      <c r="AK166" s="5" t="s">
        <v>443</v>
      </c>
      <c r="AL166" s="5">
        <v>9.4</v>
      </c>
      <c r="AM166" s="5">
        <v>19.399999999999999</v>
      </c>
      <c r="AN166" s="5">
        <v>9.89</v>
      </c>
      <c r="AO166" s="2">
        <v>267.10000000000002</v>
      </c>
      <c r="AP166" s="5" t="s">
        <v>443</v>
      </c>
      <c r="AQ166" s="2">
        <v>33.662599999999998</v>
      </c>
      <c r="AR166" s="2" t="s">
        <v>1371</v>
      </c>
      <c r="AS166" t="s">
        <v>1334</v>
      </c>
    </row>
    <row r="167" spans="1:45" x14ac:dyDescent="0.35">
      <c r="A167" t="s">
        <v>96</v>
      </c>
      <c r="B167" t="s">
        <v>973</v>
      </c>
      <c r="C167" t="s">
        <v>972</v>
      </c>
      <c r="D167" s="2" t="s">
        <v>592</v>
      </c>
      <c r="E167" s="2" t="s">
        <v>1368</v>
      </c>
      <c r="F167" s="2" t="s">
        <v>716</v>
      </c>
      <c r="G167" s="3">
        <v>914</v>
      </c>
      <c r="H167" s="3">
        <v>0</v>
      </c>
      <c r="I167" s="3">
        <v>8</v>
      </c>
      <c r="J167" s="3">
        <v>9</v>
      </c>
      <c r="K167" s="3">
        <v>505</v>
      </c>
      <c r="L167" s="3">
        <v>157</v>
      </c>
      <c r="M167" s="3">
        <v>1213</v>
      </c>
      <c r="N167" s="3">
        <v>73</v>
      </c>
      <c r="O167" s="5">
        <v>97.3</v>
      </c>
      <c r="P167" s="5">
        <v>0</v>
      </c>
      <c r="Q167" s="5">
        <v>0.9</v>
      </c>
      <c r="R167" s="5">
        <v>1.8</v>
      </c>
      <c r="S167" s="5">
        <v>35.799999999999997</v>
      </c>
      <c r="T167" s="5">
        <v>8.1999999999999993</v>
      </c>
      <c r="U167" s="5">
        <v>49.9</v>
      </c>
      <c r="V167" s="5">
        <v>6.1</v>
      </c>
      <c r="W167" s="5">
        <f t="shared" si="5"/>
        <v>56</v>
      </c>
      <c r="X167" s="2">
        <v>1</v>
      </c>
      <c r="Y167" t="s">
        <v>609</v>
      </c>
      <c r="Z167" s="4">
        <v>43005</v>
      </c>
      <c r="AA167" t="s">
        <v>10</v>
      </c>
      <c r="AB167" t="s">
        <v>85</v>
      </c>
      <c r="AC167" t="s">
        <v>1334</v>
      </c>
      <c r="AD167" t="s">
        <v>1169</v>
      </c>
      <c r="AE167" t="s">
        <v>1365</v>
      </c>
      <c r="AF167" t="s">
        <v>1376</v>
      </c>
      <c r="AG167" s="6">
        <v>0.15</v>
      </c>
      <c r="AH167" s="2">
        <v>0.01</v>
      </c>
      <c r="AI167" s="5">
        <v>6.9</v>
      </c>
      <c r="AJ167" s="5">
        <v>5.5</v>
      </c>
      <c r="AK167" s="5" t="s">
        <v>443</v>
      </c>
      <c r="AL167" s="5">
        <v>9.4</v>
      </c>
      <c r="AM167" s="5">
        <v>19.899999999999999</v>
      </c>
      <c r="AN167" s="5">
        <v>3.92</v>
      </c>
      <c r="AO167" s="2">
        <v>81</v>
      </c>
      <c r="AP167" s="5" t="s">
        <v>443</v>
      </c>
      <c r="AQ167" s="2">
        <v>161.41399999999999</v>
      </c>
      <c r="AR167" s="2" t="s">
        <v>1371</v>
      </c>
      <c r="AS167" t="s">
        <v>1334</v>
      </c>
    </row>
    <row r="168" spans="1:45" x14ac:dyDescent="0.35">
      <c r="A168" t="s">
        <v>110</v>
      </c>
      <c r="B168" t="s">
        <v>1004</v>
      </c>
      <c r="C168" t="s">
        <v>972</v>
      </c>
      <c r="D168" s="2" t="s">
        <v>592</v>
      </c>
      <c r="E168" s="2" t="s">
        <v>1368</v>
      </c>
      <c r="F168" s="2" t="s">
        <v>716</v>
      </c>
      <c r="G168" s="3">
        <v>1145</v>
      </c>
      <c r="H168" s="3">
        <v>8</v>
      </c>
      <c r="I168" s="3">
        <v>7</v>
      </c>
      <c r="J168" s="3">
        <v>9</v>
      </c>
      <c r="K168" s="3">
        <v>592</v>
      </c>
      <c r="L168" s="3">
        <v>255</v>
      </c>
      <c r="M168" s="3">
        <v>1893</v>
      </c>
      <c r="N168" s="3">
        <v>47</v>
      </c>
      <c r="O168" s="5">
        <v>97.4</v>
      </c>
      <c r="P168" s="5">
        <v>0.4</v>
      </c>
      <c r="Q168" s="5">
        <v>0.7</v>
      </c>
      <c r="R168" s="5">
        <v>1.5</v>
      </c>
      <c r="S168" s="5">
        <v>30.6</v>
      </c>
      <c r="T168" s="5">
        <v>9.6999999999999993</v>
      </c>
      <c r="U168" s="5">
        <v>56.8</v>
      </c>
      <c r="V168" s="5">
        <v>2.9</v>
      </c>
      <c r="W168" s="5">
        <f t="shared" si="5"/>
        <v>59.699999999999996</v>
      </c>
      <c r="X168" s="3">
        <v>-3.31053300533297</v>
      </c>
      <c r="Y168" t="s">
        <v>1352</v>
      </c>
      <c r="Z168" s="4">
        <v>43005</v>
      </c>
      <c r="AA168" t="s">
        <v>27</v>
      </c>
      <c r="AB168" t="s">
        <v>28</v>
      </c>
      <c r="AC168" t="s">
        <v>1334</v>
      </c>
      <c r="AD168" t="s">
        <v>1155</v>
      </c>
      <c r="AE168" t="s">
        <v>1365</v>
      </c>
      <c r="AF168" t="s">
        <v>1376</v>
      </c>
      <c r="AG168" s="6">
        <v>0.11</v>
      </c>
      <c r="AH168" s="2">
        <v>0.01</v>
      </c>
      <c r="AI168" s="5">
        <v>6.8</v>
      </c>
      <c r="AJ168" s="5">
        <v>5.5</v>
      </c>
      <c r="AK168" s="5" t="s">
        <v>443</v>
      </c>
      <c r="AL168" s="5">
        <v>9.6999999999999993</v>
      </c>
      <c r="AM168" s="5">
        <v>18.899999999999999</v>
      </c>
      <c r="AN168" s="5">
        <v>10.34</v>
      </c>
      <c r="AO168" s="2">
        <v>28.6</v>
      </c>
      <c r="AP168" s="5" t="s">
        <v>443</v>
      </c>
      <c r="AQ168" s="2">
        <v>49.418999999999997</v>
      </c>
      <c r="AR168" s="2" t="s">
        <v>1371</v>
      </c>
      <c r="AS168" t="s">
        <v>1334</v>
      </c>
    </row>
    <row r="169" spans="1:45" x14ac:dyDescent="0.35">
      <c r="A169" t="s">
        <v>124</v>
      </c>
      <c r="B169" t="s">
        <v>974</v>
      </c>
      <c r="C169" t="s">
        <v>972</v>
      </c>
      <c r="D169" s="2" t="s">
        <v>592</v>
      </c>
      <c r="E169" s="2" t="s">
        <v>1368</v>
      </c>
      <c r="F169" s="2" t="s">
        <v>716</v>
      </c>
      <c r="G169" s="3">
        <v>1722</v>
      </c>
      <c r="H169" s="3">
        <v>13</v>
      </c>
      <c r="I169" s="3">
        <v>15</v>
      </c>
      <c r="J169" s="3">
        <v>15</v>
      </c>
      <c r="K169" s="3">
        <v>723</v>
      </c>
      <c r="L169" s="3">
        <v>256</v>
      </c>
      <c r="M169" s="3">
        <v>2295</v>
      </c>
      <c r="N169" s="3">
        <v>429</v>
      </c>
      <c r="O169" s="5">
        <v>97</v>
      </c>
      <c r="P169" s="5">
        <v>0.4</v>
      </c>
      <c r="Q169" s="5">
        <v>1</v>
      </c>
      <c r="R169" s="5">
        <v>1.6</v>
      </c>
      <c r="S169" s="5">
        <v>26.3</v>
      </c>
      <c r="T169" s="5">
        <v>6.9</v>
      </c>
      <c r="U169" s="5">
        <v>48.4</v>
      </c>
      <c r="V169" s="5">
        <v>18.399999999999999</v>
      </c>
      <c r="W169" s="5">
        <f t="shared" si="5"/>
        <v>66.8</v>
      </c>
      <c r="X169" s="2">
        <v>0</v>
      </c>
      <c r="Y169" t="s">
        <v>616</v>
      </c>
      <c r="Z169" s="4">
        <v>43005</v>
      </c>
      <c r="AA169" t="s">
        <v>6</v>
      </c>
      <c r="AB169" t="s">
        <v>114</v>
      </c>
      <c r="AC169" t="s">
        <v>1334</v>
      </c>
      <c r="AD169" t="s">
        <v>1180</v>
      </c>
      <c r="AE169" t="s">
        <v>1365</v>
      </c>
      <c r="AF169" t="s">
        <v>1376</v>
      </c>
      <c r="AG169" s="6">
        <v>0.04</v>
      </c>
      <c r="AH169" s="2">
        <v>0.01</v>
      </c>
      <c r="AI169" s="5">
        <v>6.4</v>
      </c>
      <c r="AJ169" s="5">
        <v>5.0999999999999996</v>
      </c>
      <c r="AK169" s="5" t="s">
        <v>443</v>
      </c>
      <c r="AL169" s="5">
        <v>9.6999999999999993</v>
      </c>
      <c r="AM169" s="5">
        <v>21.1</v>
      </c>
      <c r="AN169" s="5">
        <v>12.45</v>
      </c>
      <c r="AO169" s="2">
        <v>12.8</v>
      </c>
      <c r="AP169" s="5" t="s">
        <v>443</v>
      </c>
      <c r="AQ169" s="2">
        <v>35.9285</v>
      </c>
      <c r="AR169" s="2" t="s">
        <v>1371</v>
      </c>
      <c r="AS169" t="s">
        <v>1334</v>
      </c>
    </row>
    <row r="170" spans="1:45" x14ac:dyDescent="0.35">
      <c r="A170" t="s">
        <v>71</v>
      </c>
      <c r="B170" t="s">
        <v>976</v>
      </c>
      <c r="C170" t="s">
        <v>1065</v>
      </c>
      <c r="D170" s="2" t="s">
        <v>592</v>
      </c>
      <c r="E170" s="2" t="s">
        <v>1368</v>
      </c>
      <c r="F170" s="2" t="s">
        <v>718</v>
      </c>
      <c r="G170" s="3">
        <v>1567</v>
      </c>
      <c r="H170" s="3">
        <v>9</v>
      </c>
      <c r="I170" s="3">
        <v>15</v>
      </c>
      <c r="J170" s="3">
        <v>18</v>
      </c>
      <c r="K170" s="3">
        <v>1101</v>
      </c>
      <c r="L170" s="3">
        <v>280</v>
      </c>
      <c r="M170" s="3">
        <v>1314</v>
      </c>
      <c r="N170" s="3">
        <v>249</v>
      </c>
      <c r="O170" s="5">
        <v>96.5</v>
      </c>
      <c r="P170" s="5">
        <v>0.3</v>
      </c>
      <c r="Q170" s="5">
        <v>1.1000000000000001</v>
      </c>
      <c r="R170" s="5">
        <v>2.1</v>
      </c>
      <c r="S170" s="5">
        <v>46.5</v>
      </c>
      <c r="T170" s="5">
        <v>8.6999999999999993</v>
      </c>
      <c r="U170" s="5">
        <v>32.299999999999997</v>
      </c>
      <c r="V170" s="5">
        <v>12.4</v>
      </c>
      <c r="W170" s="5">
        <f t="shared" si="5"/>
        <v>44.699999999999996</v>
      </c>
      <c r="X170" s="2">
        <v>3</v>
      </c>
      <c r="Y170" t="s">
        <v>616</v>
      </c>
      <c r="Z170" s="4">
        <v>43024</v>
      </c>
      <c r="AA170" t="s">
        <v>10</v>
      </c>
      <c r="AB170" t="s">
        <v>59</v>
      </c>
      <c r="AC170" t="s">
        <v>1334</v>
      </c>
      <c r="AD170" t="s">
        <v>1133</v>
      </c>
      <c r="AE170" t="s">
        <v>1365</v>
      </c>
      <c r="AF170" t="s">
        <v>1376</v>
      </c>
      <c r="AG170" s="6">
        <v>8.5000000000000006E-2</v>
      </c>
      <c r="AH170" s="2">
        <v>0.01</v>
      </c>
      <c r="AI170" s="5">
        <v>10.8</v>
      </c>
      <c r="AJ170" s="5">
        <v>8.6</v>
      </c>
      <c r="AK170" s="5" t="s">
        <v>443</v>
      </c>
      <c r="AL170" s="5">
        <v>9.6</v>
      </c>
      <c r="AM170" s="5">
        <v>17.399999999999999</v>
      </c>
      <c r="AN170" s="5">
        <v>12.18</v>
      </c>
      <c r="AO170" s="2">
        <v>255.7</v>
      </c>
      <c r="AP170" s="5" t="s">
        <v>443</v>
      </c>
      <c r="AQ170" s="2">
        <v>598.6</v>
      </c>
      <c r="AR170" s="2" t="s">
        <v>1371</v>
      </c>
      <c r="AS170" t="s">
        <v>1334</v>
      </c>
    </row>
    <row r="171" spans="1:45" x14ac:dyDescent="0.35">
      <c r="A171" t="s">
        <v>97</v>
      </c>
      <c r="B171" t="s">
        <v>973</v>
      </c>
      <c r="C171" t="s">
        <v>972</v>
      </c>
      <c r="D171" s="2" t="s">
        <v>592</v>
      </c>
      <c r="E171" s="2" t="s">
        <v>1368</v>
      </c>
      <c r="F171" s="2" t="s">
        <v>716</v>
      </c>
      <c r="G171" s="3">
        <v>914</v>
      </c>
      <c r="H171" s="3">
        <v>0</v>
      </c>
      <c r="I171" s="3">
        <v>8</v>
      </c>
      <c r="J171" s="3">
        <v>9</v>
      </c>
      <c r="K171" s="3">
        <v>505</v>
      </c>
      <c r="L171" s="3">
        <v>157</v>
      </c>
      <c r="M171" s="3">
        <v>1213</v>
      </c>
      <c r="N171" s="3">
        <v>73</v>
      </c>
      <c r="O171" s="5">
        <v>97.3</v>
      </c>
      <c r="P171" s="5">
        <v>0</v>
      </c>
      <c r="Q171" s="5">
        <v>0.9</v>
      </c>
      <c r="R171" s="5">
        <v>1.8</v>
      </c>
      <c r="S171" s="5">
        <v>35.799999999999997</v>
      </c>
      <c r="T171" s="5">
        <v>8.1999999999999993</v>
      </c>
      <c r="U171" s="5">
        <v>49.9</v>
      </c>
      <c r="V171" s="5">
        <v>6.1</v>
      </c>
      <c r="W171" s="5">
        <f t="shared" si="5"/>
        <v>56</v>
      </c>
      <c r="X171" s="2">
        <v>1</v>
      </c>
      <c r="Y171" t="s">
        <v>609</v>
      </c>
      <c r="Z171" s="4">
        <v>43024</v>
      </c>
      <c r="AA171" t="s">
        <v>10</v>
      </c>
      <c r="AB171" t="s">
        <v>85</v>
      </c>
      <c r="AC171" t="s">
        <v>1334</v>
      </c>
      <c r="AD171" t="s">
        <v>1170</v>
      </c>
      <c r="AE171" t="s">
        <v>1365</v>
      </c>
      <c r="AF171" t="s">
        <v>1376</v>
      </c>
      <c r="AG171" s="6">
        <v>0.15</v>
      </c>
      <c r="AH171" s="2">
        <v>0.01</v>
      </c>
      <c r="AI171" s="5">
        <v>8.6</v>
      </c>
      <c r="AJ171" s="5">
        <v>6.9</v>
      </c>
      <c r="AK171" s="5" t="s">
        <v>443</v>
      </c>
      <c r="AL171" s="5">
        <v>9.1999999999999993</v>
      </c>
      <c r="AM171" s="5">
        <v>18.8</v>
      </c>
      <c r="AN171" s="5">
        <v>6.62</v>
      </c>
      <c r="AO171" s="2">
        <v>57.9</v>
      </c>
      <c r="AP171" s="5" t="s">
        <v>443</v>
      </c>
      <c r="AQ171" s="2">
        <v>800.5</v>
      </c>
      <c r="AR171" s="2" t="s">
        <v>1371</v>
      </c>
      <c r="AS171" t="s">
        <v>1334</v>
      </c>
    </row>
    <row r="172" spans="1:45" x14ac:dyDescent="0.35">
      <c r="A172" t="s">
        <v>111</v>
      </c>
      <c r="B172" t="s">
        <v>1004</v>
      </c>
      <c r="C172" t="s">
        <v>972</v>
      </c>
      <c r="D172" s="2" t="s">
        <v>592</v>
      </c>
      <c r="E172" s="2" t="s">
        <v>1368</v>
      </c>
      <c r="F172" s="2" t="s">
        <v>716</v>
      </c>
      <c r="G172" s="3">
        <v>1145</v>
      </c>
      <c r="H172" s="3">
        <v>8</v>
      </c>
      <c r="I172" s="3">
        <v>7</v>
      </c>
      <c r="J172" s="3">
        <v>9</v>
      </c>
      <c r="K172" s="3">
        <v>592</v>
      </c>
      <c r="L172" s="3">
        <v>255</v>
      </c>
      <c r="M172" s="3">
        <v>1893</v>
      </c>
      <c r="N172" s="3">
        <v>47</v>
      </c>
      <c r="O172" s="5">
        <v>97.4</v>
      </c>
      <c r="P172" s="5">
        <v>0.4</v>
      </c>
      <c r="Q172" s="5">
        <v>0.7</v>
      </c>
      <c r="R172" s="5">
        <v>1.5</v>
      </c>
      <c r="S172" s="5">
        <v>30.6</v>
      </c>
      <c r="T172" s="5">
        <v>9.6999999999999993</v>
      </c>
      <c r="U172" s="5">
        <v>56.8</v>
      </c>
      <c r="V172" s="5">
        <v>2.9</v>
      </c>
      <c r="W172" s="5">
        <f t="shared" si="5"/>
        <v>59.699999999999996</v>
      </c>
      <c r="X172" s="3">
        <v>-3.31053300533297</v>
      </c>
      <c r="Y172" t="s">
        <v>1352</v>
      </c>
      <c r="Z172" s="4">
        <v>43024</v>
      </c>
      <c r="AA172" t="s">
        <v>27</v>
      </c>
      <c r="AB172" t="s">
        <v>28</v>
      </c>
      <c r="AC172" t="s">
        <v>1334</v>
      </c>
      <c r="AD172" t="s">
        <v>1156</v>
      </c>
      <c r="AE172" t="s">
        <v>1365</v>
      </c>
      <c r="AF172" t="s">
        <v>1376</v>
      </c>
      <c r="AG172" s="6">
        <v>5.5E-2</v>
      </c>
      <c r="AH172" s="2">
        <v>0.01</v>
      </c>
      <c r="AI172" s="5">
        <v>8.9</v>
      </c>
      <c r="AJ172" s="5">
        <v>7.1</v>
      </c>
      <c r="AK172" s="5" t="s">
        <v>443</v>
      </c>
      <c r="AL172" s="5">
        <v>9.6</v>
      </c>
      <c r="AM172" s="5">
        <v>19.5</v>
      </c>
      <c r="AN172" s="5">
        <v>8.6999999999999993</v>
      </c>
      <c r="AO172" s="2">
        <v>26.9</v>
      </c>
      <c r="AP172" s="5" t="s">
        <v>443</v>
      </c>
      <c r="AQ172" s="2">
        <v>710.9</v>
      </c>
      <c r="AR172" s="2" t="s">
        <v>1371</v>
      </c>
      <c r="AS172" t="s">
        <v>1334</v>
      </c>
    </row>
    <row r="173" spans="1:45" x14ac:dyDescent="0.35">
      <c r="A173" t="s">
        <v>72</v>
      </c>
      <c r="B173" t="s">
        <v>976</v>
      </c>
      <c r="C173" t="s">
        <v>1065</v>
      </c>
      <c r="D173" s="2" t="s">
        <v>592</v>
      </c>
      <c r="E173" s="2" t="s">
        <v>1368</v>
      </c>
      <c r="F173" s="2" t="s">
        <v>718</v>
      </c>
      <c r="G173" s="3">
        <v>1567</v>
      </c>
      <c r="H173" s="3">
        <v>9</v>
      </c>
      <c r="I173" s="3">
        <v>15</v>
      </c>
      <c r="J173" s="3">
        <v>18</v>
      </c>
      <c r="K173" s="3">
        <v>1101</v>
      </c>
      <c r="L173" s="3">
        <v>280</v>
      </c>
      <c r="M173" s="3">
        <v>1314</v>
      </c>
      <c r="N173" s="3">
        <v>249</v>
      </c>
      <c r="O173" s="5">
        <v>96.5</v>
      </c>
      <c r="P173" s="5">
        <v>0.3</v>
      </c>
      <c r="Q173" s="5">
        <v>1.1000000000000001</v>
      </c>
      <c r="R173" s="5">
        <v>2.1</v>
      </c>
      <c r="S173" s="5">
        <v>46.5</v>
      </c>
      <c r="T173" s="5">
        <v>8.6999999999999993</v>
      </c>
      <c r="U173" s="5">
        <v>32.299999999999997</v>
      </c>
      <c r="V173" s="5">
        <v>12.4</v>
      </c>
      <c r="W173" s="5">
        <f t="shared" si="5"/>
        <v>44.699999999999996</v>
      </c>
      <c r="X173" s="2">
        <v>3</v>
      </c>
      <c r="Y173" t="s">
        <v>616</v>
      </c>
      <c r="Z173" s="4">
        <v>43053</v>
      </c>
      <c r="AA173" t="s">
        <v>10</v>
      </c>
      <c r="AB173" t="s">
        <v>59</v>
      </c>
      <c r="AC173" t="s">
        <v>1334</v>
      </c>
      <c r="AD173" t="s">
        <v>1134</v>
      </c>
      <c r="AE173" t="s">
        <v>1365</v>
      </c>
      <c r="AF173" t="s">
        <v>1376</v>
      </c>
      <c r="AG173" s="6">
        <v>0.09</v>
      </c>
      <c r="AH173" s="2">
        <v>0.01</v>
      </c>
      <c r="AI173" s="5">
        <v>6</v>
      </c>
      <c r="AJ173" s="5">
        <v>4.8</v>
      </c>
      <c r="AK173" s="5" t="s">
        <v>443</v>
      </c>
      <c r="AL173" s="5">
        <v>9.6</v>
      </c>
      <c r="AM173" s="5">
        <v>6</v>
      </c>
      <c r="AN173" s="5">
        <v>11.43</v>
      </c>
      <c r="AO173" s="5" t="s">
        <v>443</v>
      </c>
      <c r="AP173" s="5" t="s">
        <v>443</v>
      </c>
      <c r="AQ173" s="2">
        <v>428.9</v>
      </c>
      <c r="AR173" s="2" t="s">
        <v>1370</v>
      </c>
      <c r="AS173" t="s">
        <v>1334</v>
      </c>
    </row>
    <row r="174" spans="1:45" x14ac:dyDescent="0.35">
      <c r="A174" t="s">
        <v>83</v>
      </c>
      <c r="B174" t="s">
        <v>977</v>
      </c>
      <c r="C174" t="s">
        <v>972</v>
      </c>
      <c r="D174" s="2" t="s">
        <v>592</v>
      </c>
      <c r="E174" s="2" t="s">
        <v>1368</v>
      </c>
      <c r="F174" s="2" t="s">
        <v>716</v>
      </c>
      <c r="G174" s="3">
        <v>1192</v>
      </c>
      <c r="H174" s="3">
        <v>12</v>
      </c>
      <c r="I174" s="3">
        <v>15</v>
      </c>
      <c r="J174" s="3">
        <v>16</v>
      </c>
      <c r="K174" s="3">
        <v>680</v>
      </c>
      <c r="L174" s="3">
        <v>183</v>
      </c>
      <c r="M174" s="3">
        <v>1290</v>
      </c>
      <c r="N174" s="3">
        <v>296</v>
      </c>
      <c r="O174" s="5">
        <v>95.6</v>
      </c>
      <c r="P174" s="5">
        <v>0.6</v>
      </c>
      <c r="Q174" s="5">
        <v>1.4</v>
      </c>
      <c r="R174" s="5">
        <v>2.4</v>
      </c>
      <c r="S174" s="5">
        <v>35.5</v>
      </c>
      <c r="T174" s="5">
        <v>7.1</v>
      </c>
      <c r="U174" s="5">
        <v>39.1</v>
      </c>
      <c r="V174" s="5">
        <v>18.3</v>
      </c>
      <c r="W174" s="5">
        <f t="shared" si="5"/>
        <v>57.400000000000006</v>
      </c>
      <c r="X174" s="2">
        <v>0</v>
      </c>
      <c r="Y174" t="s">
        <v>616</v>
      </c>
      <c r="Z174" s="4">
        <v>43053</v>
      </c>
      <c r="AA174" t="s">
        <v>74</v>
      </c>
      <c r="AB174" t="s">
        <v>75</v>
      </c>
      <c r="AC174" t="s">
        <v>1334</v>
      </c>
      <c r="AD174" t="s">
        <v>1143</v>
      </c>
      <c r="AE174" t="s">
        <v>1365</v>
      </c>
      <c r="AF174" t="s">
        <v>1376</v>
      </c>
      <c r="AG174" s="6">
        <v>0.11</v>
      </c>
      <c r="AH174" s="2">
        <v>0.01</v>
      </c>
      <c r="AI174" s="5">
        <v>3.3</v>
      </c>
      <c r="AJ174" s="5">
        <v>2.6</v>
      </c>
      <c r="AK174" s="5" t="s">
        <v>443</v>
      </c>
      <c r="AL174" s="5">
        <v>9.4</v>
      </c>
      <c r="AM174" s="5">
        <v>7.1</v>
      </c>
      <c r="AN174" s="5">
        <v>10.62</v>
      </c>
      <c r="AO174" s="5" t="s">
        <v>443</v>
      </c>
      <c r="AP174" s="5" t="s">
        <v>443</v>
      </c>
      <c r="AQ174" s="2">
        <v>306.3</v>
      </c>
      <c r="AR174" s="2" t="s">
        <v>1370</v>
      </c>
      <c r="AS174" t="s">
        <v>1334</v>
      </c>
    </row>
    <row r="175" spans="1:45" x14ac:dyDescent="0.35">
      <c r="A175" t="s">
        <v>98</v>
      </c>
      <c r="B175" t="s">
        <v>973</v>
      </c>
      <c r="C175" t="s">
        <v>972</v>
      </c>
      <c r="D175" s="2" t="s">
        <v>592</v>
      </c>
      <c r="E175" s="2" t="s">
        <v>1368</v>
      </c>
      <c r="F175" s="2" t="s">
        <v>716</v>
      </c>
      <c r="G175" s="3">
        <v>914</v>
      </c>
      <c r="H175" s="3">
        <v>0</v>
      </c>
      <c r="I175" s="3">
        <v>8</v>
      </c>
      <c r="J175" s="3">
        <v>9</v>
      </c>
      <c r="K175" s="3">
        <v>505</v>
      </c>
      <c r="L175" s="3">
        <v>157</v>
      </c>
      <c r="M175" s="3">
        <v>1213</v>
      </c>
      <c r="N175" s="3">
        <v>73</v>
      </c>
      <c r="O175" s="5">
        <v>97.3</v>
      </c>
      <c r="P175" s="5">
        <v>0</v>
      </c>
      <c r="Q175" s="5">
        <v>0.9</v>
      </c>
      <c r="R175" s="5">
        <v>1.8</v>
      </c>
      <c r="S175" s="5">
        <v>35.799999999999997</v>
      </c>
      <c r="T175" s="5">
        <v>8.1999999999999993</v>
      </c>
      <c r="U175" s="5">
        <v>49.9</v>
      </c>
      <c r="V175" s="5">
        <v>6.1</v>
      </c>
      <c r="W175" s="5">
        <f t="shared" si="5"/>
        <v>56</v>
      </c>
      <c r="X175" s="2">
        <v>1</v>
      </c>
      <c r="Y175" t="s">
        <v>609</v>
      </c>
      <c r="Z175" s="4">
        <v>43053</v>
      </c>
      <c r="AA175" t="s">
        <v>10</v>
      </c>
      <c r="AB175" t="s">
        <v>85</v>
      </c>
      <c r="AC175" t="s">
        <v>1334</v>
      </c>
      <c r="AD175" t="s">
        <v>1171</v>
      </c>
      <c r="AE175" t="s">
        <v>1365</v>
      </c>
      <c r="AF175" t="s">
        <v>1376</v>
      </c>
      <c r="AG175" s="6">
        <v>0.2</v>
      </c>
      <c r="AH175" s="2">
        <v>0.01</v>
      </c>
      <c r="AI175" s="5">
        <v>4.7</v>
      </c>
      <c r="AJ175" s="5">
        <v>3.8</v>
      </c>
      <c r="AK175" s="5" t="s">
        <v>443</v>
      </c>
      <c r="AL175" s="5">
        <v>9.3000000000000007</v>
      </c>
      <c r="AM175" s="5">
        <v>6.9</v>
      </c>
      <c r="AN175" s="5">
        <v>10.1</v>
      </c>
      <c r="AO175" s="5" t="s">
        <v>443</v>
      </c>
      <c r="AP175" s="5" t="s">
        <v>443</v>
      </c>
      <c r="AQ175" s="2">
        <v>377.7</v>
      </c>
      <c r="AR175" s="2" t="s">
        <v>1370</v>
      </c>
      <c r="AS175" t="s">
        <v>1334</v>
      </c>
    </row>
    <row r="176" spans="1:45" x14ac:dyDescent="0.35">
      <c r="A176" t="s">
        <v>112</v>
      </c>
      <c r="B176" t="s">
        <v>1004</v>
      </c>
      <c r="C176" t="s">
        <v>972</v>
      </c>
      <c r="D176" s="2" t="s">
        <v>592</v>
      </c>
      <c r="E176" s="2" t="s">
        <v>1368</v>
      </c>
      <c r="F176" s="2" t="s">
        <v>716</v>
      </c>
      <c r="G176" s="3">
        <v>1145</v>
      </c>
      <c r="H176" s="3">
        <v>8</v>
      </c>
      <c r="I176" s="3">
        <v>7</v>
      </c>
      <c r="J176" s="3">
        <v>9</v>
      </c>
      <c r="K176" s="3">
        <v>592</v>
      </c>
      <c r="L176" s="3">
        <v>255</v>
      </c>
      <c r="M176" s="3">
        <v>1893</v>
      </c>
      <c r="N176" s="3">
        <v>47</v>
      </c>
      <c r="O176" s="5">
        <v>97.4</v>
      </c>
      <c r="P176" s="5">
        <v>0.4</v>
      </c>
      <c r="Q176" s="5">
        <v>0.7</v>
      </c>
      <c r="R176" s="5">
        <v>1.5</v>
      </c>
      <c r="S176" s="5">
        <v>30.6</v>
      </c>
      <c r="T176" s="5">
        <v>9.6999999999999993</v>
      </c>
      <c r="U176" s="5">
        <v>56.8</v>
      </c>
      <c r="V176" s="5">
        <v>2.9</v>
      </c>
      <c r="W176" s="5">
        <f t="shared" si="5"/>
        <v>59.699999999999996</v>
      </c>
      <c r="X176" s="3">
        <v>-3.31053300533297</v>
      </c>
      <c r="Y176" t="s">
        <v>1352</v>
      </c>
      <c r="Z176" s="4">
        <v>43053</v>
      </c>
      <c r="AA176" t="s">
        <v>27</v>
      </c>
      <c r="AB176" t="s">
        <v>28</v>
      </c>
      <c r="AC176" t="s">
        <v>1334</v>
      </c>
      <c r="AD176" t="s">
        <v>1157</v>
      </c>
      <c r="AE176" t="s">
        <v>1365</v>
      </c>
      <c r="AF176" t="s">
        <v>1376</v>
      </c>
      <c r="AG176" s="6">
        <v>0.156</v>
      </c>
      <c r="AH176" s="2">
        <v>0.01</v>
      </c>
      <c r="AI176" s="5">
        <v>5.6</v>
      </c>
      <c r="AJ176" s="5">
        <v>4.5</v>
      </c>
      <c r="AK176" s="5" t="s">
        <v>443</v>
      </c>
      <c r="AL176" s="5">
        <v>9.6999999999999993</v>
      </c>
      <c r="AM176" s="5">
        <v>6.7</v>
      </c>
      <c r="AN176" s="5">
        <v>11.61</v>
      </c>
      <c r="AO176" s="5" t="s">
        <v>443</v>
      </c>
      <c r="AP176" s="5" t="s">
        <v>443</v>
      </c>
      <c r="AQ176" s="2">
        <v>496.1</v>
      </c>
      <c r="AR176" s="2" t="s">
        <v>1370</v>
      </c>
      <c r="AS176" t="s">
        <v>1334</v>
      </c>
    </row>
    <row r="177" spans="1:45" x14ac:dyDescent="0.35">
      <c r="A177" t="s">
        <v>125</v>
      </c>
      <c r="B177" t="s">
        <v>974</v>
      </c>
      <c r="C177" t="s">
        <v>972</v>
      </c>
      <c r="D177" s="2" t="s">
        <v>592</v>
      </c>
      <c r="E177" s="2" t="s">
        <v>1368</v>
      </c>
      <c r="F177" s="2" t="s">
        <v>716</v>
      </c>
      <c r="G177" s="3">
        <v>1722</v>
      </c>
      <c r="H177" s="3">
        <v>13</v>
      </c>
      <c r="I177" s="3">
        <v>15</v>
      </c>
      <c r="J177" s="3">
        <v>15</v>
      </c>
      <c r="K177" s="3">
        <v>723</v>
      </c>
      <c r="L177" s="3">
        <v>256</v>
      </c>
      <c r="M177" s="3">
        <v>2295</v>
      </c>
      <c r="N177" s="3">
        <v>429</v>
      </c>
      <c r="O177" s="5">
        <v>97</v>
      </c>
      <c r="P177" s="5">
        <v>0.4</v>
      </c>
      <c r="Q177" s="5">
        <v>1</v>
      </c>
      <c r="R177" s="5">
        <v>1.6</v>
      </c>
      <c r="S177" s="5">
        <v>26.3</v>
      </c>
      <c r="T177" s="5">
        <v>6.9</v>
      </c>
      <c r="U177" s="5">
        <v>48.4</v>
      </c>
      <c r="V177" s="5">
        <v>18.399999999999999</v>
      </c>
      <c r="W177" s="5">
        <f t="shared" si="5"/>
        <v>66.8</v>
      </c>
      <c r="X177" s="2">
        <v>0</v>
      </c>
      <c r="Y177" t="s">
        <v>616</v>
      </c>
      <c r="Z177" s="4">
        <v>43053</v>
      </c>
      <c r="AA177" t="s">
        <v>6</v>
      </c>
      <c r="AB177" t="s">
        <v>114</v>
      </c>
      <c r="AC177" t="s">
        <v>1334</v>
      </c>
      <c r="AD177" t="s">
        <v>1181</v>
      </c>
      <c r="AE177" t="s">
        <v>1365</v>
      </c>
      <c r="AF177" t="s">
        <v>1376</v>
      </c>
      <c r="AG177" s="6">
        <v>0.06</v>
      </c>
      <c r="AH177" s="2">
        <v>0.01</v>
      </c>
      <c r="AI177" s="5">
        <v>3.6</v>
      </c>
      <c r="AJ177" s="5">
        <v>2.8</v>
      </c>
      <c r="AK177" s="5" t="s">
        <v>443</v>
      </c>
      <c r="AL177" s="5">
        <v>9.6</v>
      </c>
      <c r="AM177" s="5">
        <v>5.9</v>
      </c>
      <c r="AN177" s="5">
        <v>11.05</v>
      </c>
      <c r="AO177" s="5" t="s">
        <v>443</v>
      </c>
      <c r="AP177" s="5" t="s">
        <v>443</v>
      </c>
      <c r="AQ177" s="2">
        <v>208.8</v>
      </c>
      <c r="AR177" s="2" t="s">
        <v>1370</v>
      </c>
      <c r="AS177" t="s">
        <v>1334</v>
      </c>
    </row>
    <row r="178" spans="1:45" x14ac:dyDescent="0.35">
      <c r="A178" t="s">
        <v>258</v>
      </c>
      <c r="B178" t="s">
        <v>944</v>
      </c>
      <c r="C178" t="s">
        <v>972</v>
      </c>
      <c r="D178" s="2" t="s">
        <v>592</v>
      </c>
      <c r="E178" s="2" t="s">
        <v>1368</v>
      </c>
      <c r="F178" s="2" t="s">
        <v>716</v>
      </c>
      <c r="G178" s="3">
        <v>773</v>
      </c>
      <c r="H178" s="3">
        <v>54</v>
      </c>
      <c r="I178" s="3">
        <v>13</v>
      </c>
      <c r="J178" s="3">
        <v>102</v>
      </c>
      <c r="K178" s="3">
        <v>361</v>
      </c>
      <c r="L178" s="3">
        <v>145</v>
      </c>
      <c r="M178" s="3">
        <v>1370</v>
      </c>
      <c r="N178" s="3">
        <v>85</v>
      </c>
      <c r="O178" s="5">
        <v>76.3</v>
      </c>
      <c r="P178" s="5">
        <v>3.1</v>
      </c>
      <c r="Q178" s="5">
        <v>1.5</v>
      </c>
      <c r="R178" s="5">
        <v>19.100000000000001</v>
      </c>
      <c r="S178" s="5">
        <v>26.5</v>
      </c>
      <c r="T178" s="5">
        <v>7.8</v>
      </c>
      <c r="U178" s="5">
        <v>58.3</v>
      </c>
      <c r="V178" s="5">
        <v>7.4</v>
      </c>
      <c r="W178" s="5">
        <f t="shared" si="5"/>
        <v>65.7</v>
      </c>
      <c r="X178" s="3">
        <v>6.7375430359348023</v>
      </c>
      <c r="Y178" t="s">
        <v>616</v>
      </c>
      <c r="Z178" s="4" t="s">
        <v>259</v>
      </c>
      <c r="AA178" t="s">
        <v>183</v>
      </c>
      <c r="AB178" t="s">
        <v>260</v>
      </c>
      <c r="AC178" t="s">
        <v>1333</v>
      </c>
      <c r="AD178" t="s">
        <v>803</v>
      </c>
      <c r="AE178" t="s">
        <v>1365</v>
      </c>
      <c r="AF178" t="s">
        <v>1378</v>
      </c>
      <c r="AG178" s="6">
        <v>0.18</v>
      </c>
      <c r="AH178" s="2">
        <v>0.02</v>
      </c>
      <c r="AI178" s="5">
        <v>1.5</v>
      </c>
      <c r="AJ178" s="5">
        <v>1.2</v>
      </c>
      <c r="AK178" s="5" t="s">
        <v>443</v>
      </c>
      <c r="AL178" s="5">
        <v>9</v>
      </c>
      <c r="AM178" s="5">
        <v>20.3</v>
      </c>
      <c r="AN178" s="5">
        <v>12.75</v>
      </c>
      <c r="AO178" s="2">
        <v>20.5</v>
      </c>
      <c r="AP178" s="5" t="s">
        <v>443</v>
      </c>
      <c r="AQ178" s="5" t="s">
        <v>443</v>
      </c>
      <c r="AR178" s="2" t="s">
        <v>1370</v>
      </c>
      <c r="AS178" t="s">
        <v>1333</v>
      </c>
    </row>
    <row r="179" spans="1:45" x14ac:dyDescent="0.35">
      <c r="A179" t="s">
        <v>261</v>
      </c>
      <c r="B179" t="s">
        <v>262</v>
      </c>
      <c r="C179" t="s">
        <v>972</v>
      </c>
      <c r="D179" s="2" t="s">
        <v>592</v>
      </c>
      <c r="E179" s="2" t="s">
        <v>1368</v>
      </c>
      <c r="F179" s="2" t="s">
        <v>716</v>
      </c>
      <c r="G179" s="3">
        <v>251</v>
      </c>
      <c r="H179" s="3">
        <v>16</v>
      </c>
      <c r="I179" s="3">
        <v>124</v>
      </c>
      <c r="J179" s="3">
        <v>50</v>
      </c>
      <c r="K179" s="3">
        <v>23</v>
      </c>
      <c r="L179" s="3">
        <v>110</v>
      </c>
      <c r="M179" s="3">
        <v>1052</v>
      </c>
      <c r="N179" s="3">
        <v>20</v>
      </c>
      <c r="O179" s="5">
        <v>50.5</v>
      </c>
      <c r="P179" s="5">
        <v>1.9</v>
      </c>
      <c r="Q179" s="5">
        <v>28.6</v>
      </c>
      <c r="R179" s="5">
        <v>19</v>
      </c>
      <c r="S179" s="5">
        <v>3.1</v>
      </c>
      <c r="T179" s="5">
        <v>11</v>
      </c>
      <c r="U179" s="5">
        <v>82.7</v>
      </c>
      <c r="V179" s="5">
        <v>3.2</v>
      </c>
      <c r="W179" s="5">
        <f t="shared" si="5"/>
        <v>85.9</v>
      </c>
      <c r="X179" s="3">
        <v>1.8455130108267497</v>
      </c>
      <c r="Y179" t="s">
        <v>616</v>
      </c>
      <c r="Z179" s="4" t="s">
        <v>259</v>
      </c>
      <c r="AA179" t="s">
        <v>183</v>
      </c>
      <c r="AB179" t="s">
        <v>203</v>
      </c>
      <c r="AC179" t="s">
        <v>1333</v>
      </c>
      <c r="AD179" t="s">
        <v>802</v>
      </c>
      <c r="AE179" t="s">
        <v>1365</v>
      </c>
      <c r="AF179" t="s">
        <v>1378</v>
      </c>
      <c r="AG179" s="6">
        <v>0.15</v>
      </c>
      <c r="AH179" s="2">
        <v>0.02</v>
      </c>
      <c r="AI179" s="5">
        <v>0.7</v>
      </c>
      <c r="AJ179" s="5">
        <v>0.5</v>
      </c>
      <c r="AK179" s="5" t="s">
        <v>443</v>
      </c>
      <c r="AL179" s="5">
        <v>8.6999999999999993</v>
      </c>
      <c r="AM179" s="5">
        <v>16.8</v>
      </c>
      <c r="AN179" s="5">
        <v>10.32</v>
      </c>
      <c r="AO179" s="2">
        <v>16.2</v>
      </c>
      <c r="AP179" s="5" t="s">
        <v>443</v>
      </c>
      <c r="AQ179" s="5" t="s">
        <v>443</v>
      </c>
      <c r="AR179" s="2" t="s">
        <v>1370</v>
      </c>
      <c r="AS179" t="s">
        <v>1333</v>
      </c>
    </row>
    <row r="180" spans="1:45" x14ac:dyDescent="0.35">
      <c r="A180" t="s">
        <v>263</v>
      </c>
      <c r="B180" t="s">
        <v>798</v>
      </c>
      <c r="C180" t="s">
        <v>1065</v>
      </c>
      <c r="D180" s="2" t="s">
        <v>592</v>
      </c>
      <c r="E180" s="2" t="s">
        <v>1368</v>
      </c>
      <c r="F180" s="2" t="s">
        <v>718</v>
      </c>
      <c r="G180" s="3">
        <v>1766</v>
      </c>
      <c r="H180" s="3">
        <v>93</v>
      </c>
      <c r="I180" s="3">
        <v>0</v>
      </c>
      <c r="J180" s="3">
        <v>550</v>
      </c>
      <c r="K180" s="3">
        <v>1305</v>
      </c>
      <c r="L180" s="3">
        <v>2067</v>
      </c>
      <c r="M180" s="3">
        <v>1893</v>
      </c>
      <c r="N180" s="3">
        <v>291</v>
      </c>
      <c r="O180" s="5">
        <v>61.7</v>
      </c>
      <c r="P180" s="5">
        <v>1.9</v>
      </c>
      <c r="Q180" s="5">
        <v>0</v>
      </c>
      <c r="R180" s="5">
        <v>36.4</v>
      </c>
      <c r="S180" s="5">
        <v>30.5</v>
      </c>
      <c r="T180" s="5">
        <v>35.700000000000003</v>
      </c>
      <c r="U180" s="5">
        <v>25.7</v>
      </c>
      <c r="V180" s="5">
        <v>8</v>
      </c>
      <c r="W180" s="5">
        <f t="shared" si="5"/>
        <v>33.700000000000003</v>
      </c>
      <c r="X180" s="3">
        <v>1.5881080615412875</v>
      </c>
      <c r="Y180" t="s">
        <v>609</v>
      </c>
      <c r="Z180" s="4" t="s">
        <v>259</v>
      </c>
      <c r="AA180" t="s">
        <v>205</v>
      </c>
      <c r="AB180" t="s">
        <v>206</v>
      </c>
      <c r="AC180" t="s">
        <v>1333</v>
      </c>
      <c r="AD180" t="s">
        <v>801</v>
      </c>
      <c r="AE180" t="s">
        <v>1365</v>
      </c>
      <c r="AF180" t="s">
        <v>1378</v>
      </c>
      <c r="AG180" s="6">
        <v>0.26</v>
      </c>
      <c r="AH180" s="2">
        <v>0.02</v>
      </c>
      <c r="AI180" s="5">
        <v>2.2000000000000002</v>
      </c>
      <c r="AJ180" s="5">
        <v>1.7</v>
      </c>
      <c r="AK180" s="5" t="s">
        <v>443</v>
      </c>
      <c r="AL180" s="5">
        <v>9</v>
      </c>
      <c r="AM180" s="5">
        <v>11.6</v>
      </c>
      <c r="AN180" s="5">
        <v>8.92</v>
      </c>
      <c r="AO180" s="2">
        <v>52.2</v>
      </c>
      <c r="AP180" s="5" t="s">
        <v>443</v>
      </c>
      <c r="AQ180" s="5" t="s">
        <v>443</v>
      </c>
      <c r="AR180" s="2" t="s">
        <v>1370</v>
      </c>
      <c r="AS180" t="s">
        <v>1333</v>
      </c>
    </row>
    <row r="181" spans="1:45" x14ac:dyDescent="0.35">
      <c r="A181" t="s">
        <v>264</v>
      </c>
      <c r="B181" t="s">
        <v>265</v>
      </c>
      <c r="C181" t="s">
        <v>972</v>
      </c>
      <c r="D181" s="2" t="s">
        <v>592</v>
      </c>
      <c r="E181" s="2" t="s">
        <v>1368</v>
      </c>
      <c r="F181" s="2" t="s">
        <v>716</v>
      </c>
      <c r="G181" s="3">
        <v>1320</v>
      </c>
      <c r="H181" s="3">
        <v>13</v>
      </c>
      <c r="I181" s="3">
        <v>12</v>
      </c>
      <c r="J181" s="3">
        <v>62</v>
      </c>
      <c r="K181" s="3">
        <v>287</v>
      </c>
      <c r="L181" s="3">
        <v>393</v>
      </c>
      <c r="M181" s="3">
        <v>2286</v>
      </c>
      <c r="N181" s="3">
        <v>140</v>
      </c>
      <c r="O181" s="5">
        <v>90.5</v>
      </c>
      <c r="P181" s="5">
        <v>0.5</v>
      </c>
      <c r="Q181" s="5">
        <v>0.9</v>
      </c>
      <c r="R181" s="5">
        <v>8</v>
      </c>
      <c r="S181" s="5">
        <v>13.9</v>
      </c>
      <c r="T181" s="5">
        <v>14</v>
      </c>
      <c r="U181" s="5">
        <v>64.099999999999994</v>
      </c>
      <c r="V181" s="5">
        <v>8</v>
      </c>
      <c r="W181" s="5">
        <f t="shared" si="5"/>
        <v>72.099999999999994</v>
      </c>
      <c r="X181" s="3">
        <v>4.137866207023885</v>
      </c>
      <c r="Y181" t="s">
        <v>616</v>
      </c>
      <c r="Z181" s="4" t="s">
        <v>259</v>
      </c>
      <c r="AA181" t="s">
        <v>183</v>
      </c>
      <c r="AB181" t="s">
        <v>208</v>
      </c>
      <c r="AC181" t="s">
        <v>1333</v>
      </c>
      <c r="AD181" t="s">
        <v>800</v>
      </c>
      <c r="AE181" t="s">
        <v>1365</v>
      </c>
      <c r="AF181" t="s">
        <v>1378</v>
      </c>
      <c r="AG181" s="6">
        <v>0.22</v>
      </c>
      <c r="AH181" s="2">
        <v>0.02</v>
      </c>
      <c r="AI181" s="5">
        <v>1.3</v>
      </c>
      <c r="AJ181" s="5">
        <v>1</v>
      </c>
      <c r="AK181" s="5" t="s">
        <v>443</v>
      </c>
      <c r="AL181" s="5">
        <v>8.6999999999999993</v>
      </c>
      <c r="AM181" s="5">
        <v>17.8</v>
      </c>
      <c r="AN181" s="5">
        <v>10.27</v>
      </c>
      <c r="AO181" s="2">
        <v>7.6</v>
      </c>
      <c r="AP181" s="5" t="s">
        <v>443</v>
      </c>
      <c r="AQ181" s="5" t="s">
        <v>443</v>
      </c>
      <c r="AR181" s="2" t="s">
        <v>1370</v>
      </c>
      <c r="AS181" t="s">
        <v>1333</v>
      </c>
    </row>
    <row r="182" spans="1:45" x14ac:dyDescent="0.35">
      <c r="A182" t="s">
        <v>266</v>
      </c>
      <c r="B182" t="s">
        <v>267</v>
      </c>
      <c r="C182" t="s">
        <v>972</v>
      </c>
      <c r="D182" s="2" t="s">
        <v>592</v>
      </c>
      <c r="E182" s="2" t="s">
        <v>1368</v>
      </c>
      <c r="F182" s="2" t="s">
        <v>716</v>
      </c>
      <c r="G182" s="3">
        <v>692</v>
      </c>
      <c r="H182" s="3">
        <v>63</v>
      </c>
      <c r="I182" s="3">
        <v>8</v>
      </c>
      <c r="J182" s="3">
        <v>71</v>
      </c>
      <c r="K182" s="3">
        <v>245</v>
      </c>
      <c r="L182" s="3">
        <v>101</v>
      </c>
      <c r="M182" s="3">
        <v>1336</v>
      </c>
      <c r="N182" s="3">
        <v>103</v>
      </c>
      <c r="O182" s="5">
        <v>79.3</v>
      </c>
      <c r="P182" s="5">
        <v>4.2</v>
      </c>
      <c r="Q182" s="5">
        <v>1.1000000000000001</v>
      </c>
      <c r="R182" s="5">
        <v>15.4</v>
      </c>
      <c r="S182" s="5">
        <v>20.100000000000001</v>
      </c>
      <c r="T182" s="5">
        <v>6.1</v>
      </c>
      <c r="U182" s="5">
        <v>63.8</v>
      </c>
      <c r="V182" s="5">
        <v>10</v>
      </c>
      <c r="W182" s="5">
        <f t="shared" si="5"/>
        <v>73.8</v>
      </c>
      <c r="X182" s="3">
        <v>4.9965907496103092</v>
      </c>
      <c r="Y182" t="s">
        <v>616</v>
      </c>
      <c r="Z182" s="4" t="s">
        <v>259</v>
      </c>
      <c r="AA182" t="s">
        <v>183</v>
      </c>
      <c r="AB182" t="s">
        <v>268</v>
      </c>
      <c r="AC182" t="s">
        <v>1332</v>
      </c>
      <c r="AD182" t="s">
        <v>799</v>
      </c>
      <c r="AE182" t="s">
        <v>1365</v>
      </c>
      <c r="AF182" t="s">
        <v>1378</v>
      </c>
      <c r="AG182" s="6">
        <v>0.21</v>
      </c>
      <c r="AH182" s="2">
        <v>0.02</v>
      </c>
      <c r="AI182" s="5">
        <v>0.7</v>
      </c>
      <c r="AJ182" s="5">
        <v>0.6</v>
      </c>
      <c r="AK182" s="5" t="s">
        <v>443</v>
      </c>
      <c r="AL182" s="5">
        <v>8.8000000000000007</v>
      </c>
      <c r="AM182" s="5">
        <v>11</v>
      </c>
      <c r="AN182" s="5">
        <v>10.7</v>
      </c>
      <c r="AO182" s="2">
        <v>44</v>
      </c>
      <c r="AP182" s="5" t="s">
        <v>443</v>
      </c>
      <c r="AQ182" s="5" t="s">
        <v>443</v>
      </c>
      <c r="AR182" s="2" t="s">
        <v>1370</v>
      </c>
      <c r="AS182" t="s">
        <v>1332</v>
      </c>
    </row>
    <row r="183" spans="1:45" x14ac:dyDescent="0.35">
      <c r="A183" t="s">
        <v>269</v>
      </c>
      <c r="B183" t="s">
        <v>819</v>
      </c>
      <c r="C183" t="s">
        <v>972</v>
      </c>
      <c r="D183" s="2" t="s">
        <v>592</v>
      </c>
      <c r="E183" s="2" t="s">
        <v>1368</v>
      </c>
      <c r="F183" s="2" t="s">
        <v>716</v>
      </c>
      <c r="G183" s="3">
        <v>597</v>
      </c>
      <c r="H183" s="3">
        <v>7</v>
      </c>
      <c r="I183" s="3">
        <v>15</v>
      </c>
      <c r="J183" s="3">
        <v>32</v>
      </c>
      <c r="K183" s="3">
        <v>118</v>
      </c>
      <c r="L183" s="3">
        <v>85</v>
      </c>
      <c r="M183" s="3">
        <v>1049</v>
      </c>
      <c r="N183" s="3">
        <v>62</v>
      </c>
      <c r="O183" s="5">
        <v>87.9</v>
      </c>
      <c r="P183" s="5">
        <v>0.6</v>
      </c>
      <c r="Q183" s="5">
        <v>2.5</v>
      </c>
      <c r="R183" s="5">
        <v>8.9</v>
      </c>
      <c r="S183" s="5">
        <v>13.7</v>
      </c>
      <c r="T183" s="5">
        <v>7.3</v>
      </c>
      <c r="U183" s="5">
        <v>70.599999999999994</v>
      </c>
      <c r="V183" s="5">
        <v>8.5</v>
      </c>
      <c r="W183" s="5">
        <f t="shared" si="5"/>
        <v>79.099999999999994</v>
      </c>
      <c r="X183" s="3">
        <v>9.5999968590839924</v>
      </c>
      <c r="Y183" t="s">
        <v>616</v>
      </c>
      <c r="Z183" s="4" t="s">
        <v>259</v>
      </c>
      <c r="AA183" t="s">
        <v>183</v>
      </c>
      <c r="AB183" t="s">
        <v>212</v>
      </c>
      <c r="AC183" t="s">
        <v>1333</v>
      </c>
      <c r="AD183" t="s">
        <v>797</v>
      </c>
      <c r="AE183" t="s">
        <v>1365</v>
      </c>
      <c r="AF183" t="s">
        <v>1378</v>
      </c>
      <c r="AG183" s="6">
        <v>0.12</v>
      </c>
      <c r="AH183" s="2">
        <v>0.02</v>
      </c>
      <c r="AI183" s="5">
        <v>0.8</v>
      </c>
      <c r="AJ183" s="5">
        <v>0.7</v>
      </c>
      <c r="AK183" s="5" t="s">
        <v>443</v>
      </c>
      <c r="AL183" s="5">
        <v>8.6</v>
      </c>
      <c r="AM183" s="5">
        <v>20.3</v>
      </c>
      <c r="AN183" s="5">
        <v>9.8800000000000008</v>
      </c>
      <c r="AO183" s="2">
        <v>1.1000000000000001</v>
      </c>
      <c r="AP183" s="5" t="s">
        <v>443</v>
      </c>
      <c r="AQ183" s="5" t="s">
        <v>443</v>
      </c>
      <c r="AR183" s="2" t="s">
        <v>1370</v>
      </c>
      <c r="AS183" t="s">
        <v>1333</v>
      </c>
    </row>
    <row r="184" spans="1:45" x14ac:dyDescent="0.35">
      <c r="A184" t="s">
        <v>270</v>
      </c>
      <c r="B184" t="s">
        <v>271</v>
      </c>
      <c r="C184" t="s">
        <v>972</v>
      </c>
      <c r="D184" s="2" t="s">
        <v>592</v>
      </c>
      <c r="E184" s="2" t="s">
        <v>1368</v>
      </c>
      <c r="F184" s="2" t="s">
        <v>716</v>
      </c>
      <c r="G184" s="3">
        <v>423</v>
      </c>
      <c r="H184" s="3">
        <v>21</v>
      </c>
      <c r="I184" s="3">
        <v>22</v>
      </c>
      <c r="J184" s="3">
        <v>71</v>
      </c>
      <c r="K184" s="3">
        <v>105</v>
      </c>
      <c r="L184" s="3">
        <v>305</v>
      </c>
      <c r="M184" s="3">
        <v>741</v>
      </c>
      <c r="N184" s="3">
        <v>75</v>
      </c>
      <c r="O184" s="5">
        <v>71.099999999999994</v>
      </c>
      <c r="P184" s="5">
        <v>2.1</v>
      </c>
      <c r="Q184" s="5">
        <v>4.2</v>
      </c>
      <c r="R184" s="5">
        <v>22.6</v>
      </c>
      <c r="S184" s="5">
        <v>12.4</v>
      </c>
      <c r="T184" s="5">
        <v>26.5</v>
      </c>
      <c r="U184" s="5">
        <v>50.7</v>
      </c>
      <c r="V184" s="5">
        <v>10.4</v>
      </c>
      <c r="W184" s="5">
        <f t="shared" si="5"/>
        <v>61.1</v>
      </c>
      <c r="X184" s="3">
        <v>3.8571225281985284</v>
      </c>
      <c r="Y184" t="s">
        <v>616</v>
      </c>
      <c r="Z184" s="4" t="s">
        <v>259</v>
      </c>
      <c r="AA184" t="s">
        <v>183</v>
      </c>
      <c r="AB184" t="s">
        <v>214</v>
      </c>
      <c r="AC184" t="s">
        <v>1333</v>
      </c>
      <c r="AD184" t="s">
        <v>796</v>
      </c>
      <c r="AE184" t="s">
        <v>1365</v>
      </c>
      <c r="AF184" t="s">
        <v>1378</v>
      </c>
      <c r="AG184" s="6">
        <v>0.28000000000000003</v>
      </c>
      <c r="AH184" s="2">
        <v>0.02</v>
      </c>
      <c r="AI184" s="5">
        <v>1.7</v>
      </c>
      <c r="AJ184" s="5">
        <v>1.4</v>
      </c>
      <c r="AK184" s="5" t="s">
        <v>443</v>
      </c>
      <c r="AL184" s="5">
        <v>8.6999999999999993</v>
      </c>
      <c r="AM184" s="5">
        <v>14.2</v>
      </c>
      <c r="AN184" s="5">
        <v>10.9</v>
      </c>
      <c r="AO184" s="2">
        <v>16.600000000000001</v>
      </c>
      <c r="AP184" s="5" t="s">
        <v>443</v>
      </c>
      <c r="AQ184" s="5" t="s">
        <v>443</v>
      </c>
      <c r="AR184" s="2" t="s">
        <v>1370</v>
      </c>
      <c r="AS184" t="s">
        <v>1333</v>
      </c>
    </row>
    <row r="185" spans="1:45" x14ac:dyDescent="0.35">
      <c r="A185" t="s">
        <v>272</v>
      </c>
      <c r="B185" t="s">
        <v>273</v>
      </c>
      <c r="C185" t="s">
        <v>972</v>
      </c>
      <c r="D185" s="2" t="s">
        <v>592</v>
      </c>
      <c r="E185" s="2" t="s">
        <v>1368</v>
      </c>
      <c r="F185" s="2" t="s">
        <v>716</v>
      </c>
      <c r="G185" s="3">
        <v>521</v>
      </c>
      <c r="H185" s="3">
        <v>7</v>
      </c>
      <c r="I185" s="3">
        <v>7</v>
      </c>
      <c r="J185" s="3">
        <v>24</v>
      </c>
      <c r="K185" s="3">
        <v>73</v>
      </c>
      <c r="L185" s="3">
        <v>57</v>
      </c>
      <c r="M185" s="3">
        <v>1088</v>
      </c>
      <c r="N185" s="3">
        <v>74</v>
      </c>
      <c r="O185" s="5">
        <v>90.1</v>
      </c>
      <c r="P185" s="5">
        <v>0.7</v>
      </c>
      <c r="Q185" s="5">
        <v>1.4</v>
      </c>
      <c r="R185" s="5">
        <v>7.8</v>
      </c>
      <c r="S185" s="5">
        <v>8.6999999999999993</v>
      </c>
      <c r="T185" s="5">
        <v>5</v>
      </c>
      <c r="U185" s="5">
        <v>75.7</v>
      </c>
      <c r="V185" s="5">
        <v>10.5</v>
      </c>
      <c r="W185" s="5">
        <f t="shared" ref="W185:W216" si="6">SUM(U185:V185)</f>
        <v>86.2</v>
      </c>
      <c r="X185" s="3">
        <v>3.3316169311393398</v>
      </c>
      <c r="Y185" t="s">
        <v>616</v>
      </c>
      <c r="Z185" s="4" t="s">
        <v>259</v>
      </c>
      <c r="AA185" t="s">
        <v>183</v>
      </c>
      <c r="AB185" t="s">
        <v>216</v>
      </c>
      <c r="AC185" t="s">
        <v>1333</v>
      </c>
      <c r="AD185" t="s">
        <v>795</v>
      </c>
      <c r="AE185" t="s">
        <v>1365</v>
      </c>
      <c r="AF185" t="s">
        <v>1378</v>
      </c>
      <c r="AG185" s="6">
        <v>0.17</v>
      </c>
      <c r="AH185" s="2">
        <v>0.02</v>
      </c>
      <c r="AI185" s="5">
        <v>0.7</v>
      </c>
      <c r="AJ185" s="5">
        <v>0.6</v>
      </c>
      <c r="AK185" s="5" t="s">
        <v>443</v>
      </c>
      <c r="AL185" s="5">
        <v>8.5</v>
      </c>
      <c r="AM185" s="5">
        <v>12.3</v>
      </c>
      <c r="AN185" s="5">
        <v>10.4</v>
      </c>
      <c r="AO185" s="2">
        <v>2.9</v>
      </c>
      <c r="AP185" s="5" t="s">
        <v>443</v>
      </c>
      <c r="AQ185" s="5" t="s">
        <v>443</v>
      </c>
      <c r="AR185" s="2" t="s">
        <v>1370</v>
      </c>
      <c r="AS185" t="s">
        <v>1333</v>
      </c>
    </row>
    <row r="186" spans="1:45" x14ac:dyDescent="0.35">
      <c r="A186" t="s">
        <v>274</v>
      </c>
      <c r="B186" t="s">
        <v>275</v>
      </c>
      <c r="C186" t="s">
        <v>972</v>
      </c>
      <c r="D186" s="2" t="s">
        <v>592</v>
      </c>
      <c r="E186" s="2" t="s">
        <v>1368</v>
      </c>
      <c r="F186" s="2" t="s">
        <v>716</v>
      </c>
      <c r="G186" s="3">
        <v>2418</v>
      </c>
      <c r="H186" s="3">
        <v>93</v>
      </c>
      <c r="I186" s="3">
        <v>4</v>
      </c>
      <c r="J186" s="3">
        <v>85</v>
      </c>
      <c r="K186" s="3">
        <v>720</v>
      </c>
      <c r="L186" s="3">
        <v>498</v>
      </c>
      <c r="M186" s="3">
        <v>5877</v>
      </c>
      <c r="N186" s="3">
        <v>370</v>
      </c>
      <c r="O186" s="5">
        <v>91.7</v>
      </c>
      <c r="P186" s="5">
        <v>2.1</v>
      </c>
      <c r="Q186" s="5">
        <v>0.2</v>
      </c>
      <c r="R186" s="5">
        <v>6.1</v>
      </c>
      <c r="S186" s="5">
        <v>14.6</v>
      </c>
      <c r="T186" s="5">
        <v>7.4</v>
      </c>
      <c r="U186" s="5">
        <v>69.099999999999994</v>
      </c>
      <c r="V186" s="5">
        <v>8.9</v>
      </c>
      <c r="W186" s="5">
        <f t="shared" si="6"/>
        <v>78</v>
      </c>
      <c r="X186" s="3">
        <v>-9.6722101297820426</v>
      </c>
      <c r="Y186" t="s">
        <v>616</v>
      </c>
      <c r="Z186" s="4" t="s">
        <v>259</v>
      </c>
      <c r="AA186" t="s">
        <v>183</v>
      </c>
      <c r="AB186" t="s">
        <v>218</v>
      </c>
      <c r="AC186" t="s">
        <v>1333</v>
      </c>
      <c r="AD186" t="s">
        <v>794</v>
      </c>
      <c r="AE186" t="s">
        <v>1365</v>
      </c>
      <c r="AF186" t="s">
        <v>1378</v>
      </c>
      <c r="AG186" s="6">
        <v>0.24</v>
      </c>
      <c r="AH186" s="2">
        <v>0.02</v>
      </c>
      <c r="AI186" s="5">
        <v>3.4</v>
      </c>
      <c r="AJ186" s="5">
        <v>2.7</v>
      </c>
      <c r="AK186" s="5" t="s">
        <v>443</v>
      </c>
      <c r="AL186" s="5">
        <v>9.1999999999999993</v>
      </c>
      <c r="AM186" s="5">
        <v>11.9</v>
      </c>
      <c r="AN186" s="5">
        <v>10.6</v>
      </c>
      <c r="AO186" s="2">
        <v>131.30000000000001</v>
      </c>
      <c r="AP186" s="5" t="s">
        <v>443</v>
      </c>
      <c r="AQ186" s="5" t="s">
        <v>443</v>
      </c>
      <c r="AR186" s="2" t="s">
        <v>1370</v>
      </c>
      <c r="AS186" t="s">
        <v>1333</v>
      </c>
    </row>
    <row r="187" spans="1:45" x14ac:dyDescent="0.35">
      <c r="A187" t="s">
        <v>276</v>
      </c>
      <c r="B187" t="s">
        <v>792</v>
      </c>
      <c r="C187" t="s">
        <v>972</v>
      </c>
      <c r="D187" s="2" t="s">
        <v>592</v>
      </c>
      <c r="E187" s="2" t="s">
        <v>1368</v>
      </c>
      <c r="F187" s="2" t="s">
        <v>716</v>
      </c>
      <c r="G187" s="3">
        <v>722</v>
      </c>
      <c r="H187" s="3">
        <v>49</v>
      </c>
      <c r="I187" s="3">
        <v>16</v>
      </c>
      <c r="J187" s="3">
        <v>249</v>
      </c>
      <c r="K187" s="3">
        <v>516</v>
      </c>
      <c r="L187" s="3">
        <v>849</v>
      </c>
      <c r="M187" s="3">
        <v>1124</v>
      </c>
      <c r="N187" s="3">
        <v>87</v>
      </c>
      <c r="O187" s="5">
        <v>58.2</v>
      </c>
      <c r="P187" s="5">
        <v>2.2999999999999998</v>
      </c>
      <c r="Q187" s="5">
        <v>1.4</v>
      </c>
      <c r="R187" s="5">
        <v>38</v>
      </c>
      <c r="S187" s="5">
        <v>27.2</v>
      </c>
      <c r="T187" s="5">
        <v>33</v>
      </c>
      <c r="U187" s="5">
        <v>34.4</v>
      </c>
      <c r="V187" s="5">
        <v>5.4</v>
      </c>
      <c r="W187" s="5">
        <f t="shared" si="6"/>
        <v>39.799999999999997</v>
      </c>
      <c r="X187" s="3">
        <v>0.37025230326132963</v>
      </c>
      <c r="Y187" t="s">
        <v>609</v>
      </c>
      <c r="Z187" s="4" t="s">
        <v>259</v>
      </c>
      <c r="AA187" t="s">
        <v>205</v>
      </c>
      <c r="AB187" t="s">
        <v>222</v>
      </c>
      <c r="AC187" t="s">
        <v>1333</v>
      </c>
      <c r="AD187" t="s">
        <v>793</v>
      </c>
      <c r="AE187" t="s">
        <v>1365</v>
      </c>
      <c r="AF187" t="s">
        <v>1378</v>
      </c>
      <c r="AG187" s="6">
        <v>0.36</v>
      </c>
      <c r="AH187" s="2">
        <v>0.02</v>
      </c>
      <c r="AI187" s="5">
        <v>2.1</v>
      </c>
      <c r="AJ187" s="5">
        <v>1.7</v>
      </c>
      <c r="AK187" s="5" t="s">
        <v>443</v>
      </c>
      <c r="AL187" s="5">
        <v>8.6999999999999993</v>
      </c>
      <c r="AM187" s="5">
        <v>10.5</v>
      </c>
      <c r="AN187" s="5">
        <v>77.2</v>
      </c>
      <c r="AO187" s="2">
        <v>60.2</v>
      </c>
      <c r="AP187" s="5" t="s">
        <v>443</v>
      </c>
      <c r="AQ187" s="5" t="s">
        <v>443</v>
      </c>
      <c r="AR187" s="2" t="s">
        <v>1370</v>
      </c>
      <c r="AS187" t="s">
        <v>1333</v>
      </c>
    </row>
    <row r="188" spans="1:45" x14ac:dyDescent="0.35">
      <c r="A188" t="s">
        <v>277</v>
      </c>
      <c r="B188" t="s">
        <v>815</v>
      </c>
      <c r="C188" t="s">
        <v>972</v>
      </c>
      <c r="D188" s="2" t="s">
        <v>592</v>
      </c>
      <c r="E188" s="2" t="s">
        <v>1368</v>
      </c>
      <c r="F188" s="2" t="s">
        <v>716</v>
      </c>
      <c r="G188" s="3">
        <v>712</v>
      </c>
      <c r="H188" s="3">
        <v>18</v>
      </c>
      <c r="I188" s="3">
        <v>13</v>
      </c>
      <c r="J188" s="3">
        <v>77</v>
      </c>
      <c r="K188" s="3">
        <v>166</v>
      </c>
      <c r="L188" s="3">
        <v>143</v>
      </c>
      <c r="M188" s="3">
        <v>1327</v>
      </c>
      <c r="N188" s="3">
        <v>96</v>
      </c>
      <c r="O188" s="5">
        <v>80.599999999999994</v>
      </c>
      <c r="P188" s="5">
        <v>1.2</v>
      </c>
      <c r="Q188" s="5">
        <v>1.7</v>
      </c>
      <c r="R188" s="5">
        <v>16.5</v>
      </c>
      <c r="S188" s="5">
        <v>14.4</v>
      </c>
      <c r="T188" s="5">
        <v>9.1</v>
      </c>
      <c r="U188" s="5">
        <v>66.7</v>
      </c>
      <c r="V188" s="5">
        <v>9.8000000000000007</v>
      </c>
      <c r="W188" s="5">
        <f t="shared" si="6"/>
        <v>76.5</v>
      </c>
      <c r="X188" s="3">
        <v>8.179795244056761</v>
      </c>
      <c r="Y188" t="s">
        <v>616</v>
      </c>
      <c r="Z188" s="4" t="s">
        <v>259</v>
      </c>
      <c r="AA188" t="s">
        <v>183</v>
      </c>
      <c r="AB188" t="s">
        <v>224</v>
      </c>
      <c r="AC188" t="s">
        <v>1333</v>
      </c>
      <c r="AD188" t="s">
        <v>791</v>
      </c>
      <c r="AE188" t="s">
        <v>1365</v>
      </c>
      <c r="AF188" t="s">
        <v>1378</v>
      </c>
      <c r="AG188" s="6">
        <v>0.15</v>
      </c>
      <c r="AH188" s="2">
        <v>0.02</v>
      </c>
      <c r="AI188" s="5">
        <v>2.5</v>
      </c>
      <c r="AJ188" s="5">
        <v>2</v>
      </c>
      <c r="AK188" s="5" t="s">
        <v>443</v>
      </c>
      <c r="AL188" s="5">
        <v>9.1</v>
      </c>
      <c r="AM188" s="5">
        <v>14.5</v>
      </c>
      <c r="AN188" s="5">
        <v>96</v>
      </c>
      <c r="AO188" s="2">
        <v>102.2</v>
      </c>
      <c r="AP188" s="5" t="s">
        <v>443</v>
      </c>
      <c r="AQ188" s="5" t="s">
        <v>443</v>
      </c>
      <c r="AR188" s="2" t="s">
        <v>1370</v>
      </c>
      <c r="AS188" t="s">
        <v>1333</v>
      </c>
    </row>
    <row r="189" spans="1:45" x14ac:dyDescent="0.35">
      <c r="A189" t="s">
        <v>278</v>
      </c>
      <c r="B189" t="s">
        <v>226</v>
      </c>
      <c r="C189" t="s">
        <v>972</v>
      </c>
      <c r="D189" s="2" t="s">
        <v>592</v>
      </c>
      <c r="E189" s="2" t="s">
        <v>1368</v>
      </c>
      <c r="F189" s="2" t="s">
        <v>716</v>
      </c>
      <c r="G189" s="3">
        <v>2090</v>
      </c>
      <c r="H189" s="3">
        <v>77</v>
      </c>
      <c r="I189" s="3">
        <v>3</v>
      </c>
      <c r="J189" s="3">
        <v>53</v>
      </c>
      <c r="K189" s="3">
        <v>642</v>
      </c>
      <c r="L189" s="3">
        <v>397</v>
      </c>
      <c r="M189" s="3">
        <v>4856</v>
      </c>
      <c r="N189" s="3">
        <v>308</v>
      </c>
      <c r="O189" s="5">
        <v>93.3</v>
      </c>
      <c r="P189" s="5">
        <v>2</v>
      </c>
      <c r="Q189" s="5">
        <v>0.2</v>
      </c>
      <c r="R189" s="5">
        <v>4.5</v>
      </c>
      <c r="S189" s="5">
        <v>15.6</v>
      </c>
      <c r="T189" s="5">
        <v>7.1</v>
      </c>
      <c r="U189" s="5">
        <v>68.5</v>
      </c>
      <c r="V189" s="5">
        <v>8.8000000000000007</v>
      </c>
      <c r="W189" s="5">
        <f t="shared" si="6"/>
        <v>77.3</v>
      </c>
      <c r="X189" s="3">
        <v>-8.8162086583849941</v>
      </c>
      <c r="Y189" t="s">
        <v>616</v>
      </c>
      <c r="Z189" s="4" t="s">
        <v>259</v>
      </c>
      <c r="AA189" t="s">
        <v>183</v>
      </c>
      <c r="AB189" t="s">
        <v>227</v>
      </c>
      <c r="AC189" t="s">
        <v>1333</v>
      </c>
      <c r="AD189" t="s">
        <v>790</v>
      </c>
      <c r="AE189" t="s">
        <v>1365</v>
      </c>
      <c r="AF189" t="s">
        <v>1378</v>
      </c>
      <c r="AG189" s="6">
        <v>0.14000000000000001</v>
      </c>
      <c r="AH189" s="2">
        <v>0.02</v>
      </c>
      <c r="AI189" s="5">
        <v>3.4</v>
      </c>
      <c r="AJ189" s="5">
        <v>2.7</v>
      </c>
      <c r="AK189" s="5" t="s">
        <v>443</v>
      </c>
      <c r="AL189" s="5">
        <v>9.3000000000000007</v>
      </c>
      <c r="AM189" s="5">
        <v>11.4</v>
      </c>
      <c r="AN189" s="5">
        <v>102.8</v>
      </c>
      <c r="AO189" s="2">
        <v>238.3</v>
      </c>
      <c r="AP189" s="5" t="s">
        <v>443</v>
      </c>
      <c r="AQ189" s="5" t="s">
        <v>443</v>
      </c>
      <c r="AR189" s="2" t="s">
        <v>1370</v>
      </c>
      <c r="AS189" t="s">
        <v>1333</v>
      </c>
    </row>
    <row r="190" spans="1:45" x14ac:dyDescent="0.35">
      <c r="A190" t="s">
        <v>279</v>
      </c>
      <c r="B190" t="s">
        <v>229</v>
      </c>
      <c r="C190" t="s">
        <v>972</v>
      </c>
      <c r="D190" s="2" t="s">
        <v>592</v>
      </c>
      <c r="E190" s="2" t="s">
        <v>1368</v>
      </c>
      <c r="F190" s="2" t="s">
        <v>716</v>
      </c>
      <c r="G190" s="3">
        <v>5350</v>
      </c>
      <c r="H190" s="3">
        <v>51</v>
      </c>
      <c r="I190" s="3">
        <v>8</v>
      </c>
      <c r="J190" s="3">
        <v>69</v>
      </c>
      <c r="K190" s="3">
        <v>1130</v>
      </c>
      <c r="L190" s="3">
        <v>1814</v>
      </c>
      <c r="M190" s="3">
        <v>17636</v>
      </c>
      <c r="N190" s="3">
        <v>1019</v>
      </c>
      <c r="O190" s="5">
        <v>96.9</v>
      </c>
      <c r="P190" s="5">
        <v>0.5</v>
      </c>
      <c r="Q190" s="5">
        <v>0.2</v>
      </c>
      <c r="R190" s="5">
        <v>2.4</v>
      </c>
      <c r="S190" s="5">
        <v>8.1</v>
      </c>
      <c r="T190" s="5">
        <v>9.6</v>
      </c>
      <c r="U190" s="5">
        <v>73.599999999999994</v>
      </c>
      <c r="V190" s="5">
        <v>8.6999999999999993</v>
      </c>
      <c r="W190" s="5">
        <f t="shared" si="6"/>
        <v>82.3</v>
      </c>
      <c r="X190" s="3">
        <v>-24.108205053474645</v>
      </c>
      <c r="Y190" t="s">
        <v>1354</v>
      </c>
      <c r="Z190" s="4" t="s">
        <v>259</v>
      </c>
      <c r="AA190" t="s">
        <v>183</v>
      </c>
      <c r="AB190" t="s">
        <v>230</v>
      </c>
      <c r="AC190" t="s">
        <v>1333</v>
      </c>
      <c r="AD190" t="s">
        <v>789</v>
      </c>
      <c r="AE190" t="s">
        <v>1365</v>
      </c>
      <c r="AF190" t="s">
        <v>1378</v>
      </c>
      <c r="AG190" s="6">
        <v>0.17</v>
      </c>
      <c r="AH190" s="2">
        <v>0.02</v>
      </c>
      <c r="AI190" s="5">
        <v>1.2</v>
      </c>
      <c r="AJ190" s="5">
        <v>0.9</v>
      </c>
      <c r="AK190" s="5" t="s">
        <v>443</v>
      </c>
      <c r="AL190" s="5">
        <v>8.9</v>
      </c>
      <c r="AM190" s="5">
        <v>13.6</v>
      </c>
      <c r="AN190" s="5">
        <v>101.8</v>
      </c>
      <c r="AO190" s="2">
        <v>14.6</v>
      </c>
      <c r="AP190" s="5" t="s">
        <v>443</v>
      </c>
      <c r="AQ190" s="5" t="s">
        <v>443</v>
      </c>
      <c r="AR190" s="2" t="s">
        <v>1370</v>
      </c>
      <c r="AS190" t="s">
        <v>1333</v>
      </c>
    </row>
    <row r="191" spans="1:45" x14ac:dyDescent="0.35">
      <c r="A191" t="s">
        <v>280</v>
      </c>
      <c r="B191" t="s">
        <v>816</v>
      </c>
      <c r="C191" t="s">
        <v>972</v>
      </c>
      <c r="D191" s="2" t="s">
        <v>592</v>
      </c>
      <c r="E191" s="2" t="s">
        <v>1368</v>
      </c>
      <c r="F191" s="2" t="s">
        <v>716</v>
      </c>
      <c r="G191" s="3">
        <v>574</v>
      </c>
      <c r="H191" s="3">
        <v>7</v>
      </c>
      <c r="I191" s="3">
        <v>12</v>
      </c>
      <c r="J191" s="3">
        <v>41</v>
      </c>
      <c r="K191" s="3">
        <v>143</v>
      </c>
      <c r="L191" s="3">
        <v>78</v>
      </c>
      <c r="M191" s="3">
        <v>1160</v>
      </c>
      <c r="N191" s="3">
        <v>87</v>
      </c>
      <c r="O191" s="5">
        <v>85.7</v>
      </c>
      <c r="P191" s="5">
        <v>0.6</v>
      </c>
      <c r="Q191" s="5">
        <v>2.1</v>
      </c>
      <c r="R191" s="5">
        <v>11.6</v>
      </c>
      <c r="S191" s="5">
        <v>14.6</v>
      </c>
      <c r="T191" s="5">
        <v>5.9</v>
      </c>
      <c r="U191" s="5">
        <v>69</v>
      </c>
      <c r="V191" s="5">
        <v>10.5</v>
      </c>
      <c r="W191" s="5">
        <f t="shared" si="6"/>
        <v>79.5</v>
      </c>
      <c r="X191" s="3">
        <v>2.7372735721723478</v>
      </c>
      <c r="Y191" t="s">
        <v>616</v>
      </c>
      <c r="Z191" s="4" t="s">
        <v>259</v>
      </c>
      <c r="AA191" t="s">
        <v>183</v>
      </c>
      <c r="AB191" t="s">
        <v>232</v>
      </c>
      <c r="AC191" t="s">
        <v>1333</v>
      </c>
      <c r="AD191" t="s">
        <v>788</v>
      </c>
      <c r="AE191" t="s">
        <v>1365</v>
      </c>
      <c r="AF191" t="s">
        <v>1378</v>
      </c>
      <c r="AG191" s="6">
        <v>0.17</v>
      </c>
      <c r="AH191" s="2">
        <v>0.02</v>
      </c>
      <c r="AI191" s="5">
        <v>0.6</v>
      </c>
      <c r="AJ191" s="5">
        <v>0.5</v>
      </c>
      <c r="AK191" s="5" t="s">
        <v>443</v>
      </c>
      <c r="AL191" s="5">
        <v>8.6</v>
      </c>
      <c r="AM191" s="5">
        <v>19.2</v>
      </c>
      <c r="AN191" s="5">
        <v>116.5</v>
      </c>
      <c r="AO191" s="2">
        <v>101.1</v>
      </c>
      <c r="AP191" s="5" t="s">
        <v>443</v>
      </c>
      <c r="AQ191" s="5" t="s">
        <v>443</v>
      </c>
      <c r="AR191" s="2" t="s">
        <v>1370</v>
      </c>
      <c r="AS191" t="s">
        <v>1333</v>
      </c>
    </row>
    <row r="192" spans="1:45" x14ac:dyDescent="0.35">
      <c r="A192" t="s">
        <v>281</v>
      </c>
      <c r="B192" t="s">
        <v>945</v>
      </c>
      <c r="C192" t="s">
        <v>972</v>
      </c>
      <c r="D192" s="2" t="s">
        <v>592</v>
      </c>
      <c r="E192" s="2" t="s">
        <v>1368</v>
      </c>
      <c r="F192" s="2" t="s">
        <v>716</v>
      </c>
      <c r="G192" s="3">
        <v>538</v>
      </c>
      <c r="H192" s="3">
        <v>4</v>
      </c>
      <c r="I192" s="3">
        <v>8</v>
      </c>
      <c r="J192" s="3">
        <v>8</v>
      </c>
      <c r="K192" s="3">
        <v>59</v>
      </c>
      <c r="L192" s="3">
        <v>135</v>
      </c>
      <c r="M192" s="3">
        <v>1193</v>
      </c>
      <c r="N192" s="3">
        <v>91</v>
      </c>
      <c r="O192" s="5">
        <v>95.3</v>
      </c>
      <c r="P192" s="5">
        <v>0.4</v>
      </c>
      <c r="Q192" s="5">
        <v>1.6</v>
      </c>
      <c r="R192" s="5">
        <v>2.7</v>
      </c>
      <c r="S192" s="5">
        <v>6.2</v>
      </c>
      <c r="T192" s="5">
        <v>10.4</v>
      </c>
      <c r="U192" s="5">
        <v>72.3</v>
      </c>
      <c r="V192" s="5">
        <v>11.2</v>
      </c>
      <c r="W192" s="5">
        <f t="shared" si="6"/>
        <v>83.5</v>
      </c>
      <c r="X192" s="3">
        <v>-4.8390222826805482</v>
      </c>
      <c r="Y192" t="s">
        <v>616</v>
      </c>
      <c r="Z192" s="4" t="s">
        <v>259</v>
      </c>
      <c r="AA192" t="s">
        <v>183</v>
      </c>
      <c r="AB192" t="s">
        <v>201</v>
      </c>
      <c r="AC192" t="s">
        <v>1333</v>
      </c>
      <c r="AD192" t="s">
        <v>787</v>
      </c>
      <c r="AE192" t="s">
        <v>1365</v>
      </c>
      <c r="AF192" t="s">
        <v>1378</v>
      </c>
      <c r="AG192" s="6">
        <v>0.23</v>
      </c>
      <c r="AH192" s="2">
        <v>0.02</v>
      </c>
      <c r="AI192" s="5">
        <v>0.8</v>
      </c>
      <c r="AJ192" s="5">
        <v>0.7</v>
      </c>
      <c r="AK192" s="5" t="s">
        <v>443</v>
      </c>
      <c r="AL192" s="5">
        <v>8.6</v>
      </c>
      <c r="AM192" s="5">
        <v>18.5</v>
      </c>
      <c r="AN192" s="5">
        <v>10.01</v>
      </c>
      <c r="AO192" s="2">
        <v>5.9</v>
      </c>
      <c r="AP192" s="5" t="s">
        <v>443</v>
      </c>
      <c r="AQ192" s="5" t="s">
        <v>443</v>
      </c>
      <c r="AR192" s="2" t="s">
        <v>1370</v>
      </c>
      <c r="AS192" t="s">
        <v>1333</v>
      </c>
    </row>
    <row r="193" spans="1:45" x14ac:dyDescent="0.35">
      <c r="A193" t="s">
        <v>282</v>
      </c>
      <c r="B193" t="s">
        <v>814</v>
      </c>
      <c r="C193" t="s">
        <v>972</v>
      </c>
      <c r="D193" s="2" t="s">
        <v>592</v>
      </c>
      <c r="E193" s="2" t="s">
        <v>1368</v>
      </c>
      <c r="F193" s="2" t="s">
        <v>716</v>
      </c>
      <c r="G193" s="3">
        <v>350</v>
      </c>
      <c r="H193" s="3">
        <v>17</v>
      </c>
      <c r="I193" s="3">
        <v>32</v>
      </c>
      <c r="J193" s="3">
        <v>66</v>
      </c>
      <c r="K193" s="3">
        <v>119</v>
      </c>
      <c r="L193" s="3">
        <v>353</v>
      </c>
      <c r="M193" s="3">
        <v>667</v>
      </c>
      <c r="N193" s="3">
        <v>61</v>
      </c>
      <c r="O193" s="5">
        <v>67.099999999999994</v>
      </c>
      <c r="P193" s="5">
        <v>1.9</v>
      </c>
      <c r="Q193" s="5">
        <v>7</v>
      </c>
      <c r="R193" s="5">
        <v>23.9</v>
      </c>
      <c r="S193" s="5">
        <v>14.2</v>
      </c>
      <c r="T193" s="5">
        <v>31</v>
      </c>
      <c r="U193" s="5">
        <v>46.2</v>
      </c>
      <c r="V193" s="5">
        <v>8.6</v>
      </c>
      <c r="W193" s="5">
        <f t="shared" si="6"/>
        <v>54.800000000000004</v>
      </c>
      <c r="X193" s="3">
        <v>-2.1202061865020925</v>
      </c>
      <c r="Y193" t="s">
        <v>616</v>
      </c>
      <c r="Z193" s="4" t="s">
        <v>259</v>
      </c>
      <c r="AA193" t="s">
        <v>183</v>
      </c>
      <c r="AB193" t="s">
        <v>234</v>
      </c>
      <c r="AC193" t="s">
        <v>1333</v>
      </c>
      <c r="AD193" t="s">
        <v>786</v>
      </c>
      <c r="AE193" t="s">
        <v>1365</v>
      </c>
      <c r="AF193" t="s">
        <v>1378</v>
      </c>
      <c r="AG193" s="6">
        <v>0.44</v>
      </c>
      <c r="AH193" s="2">
        <v>0.02</v>
      </c>
      <c r="AI193" s="5">
        <v>2.5</v>
      </c>
      <c r="AJ193" s="5">
        <v>2</v>
      </c>
      <c r="AK193" s="5" t="s">
        <v>443</v>
      </c>
      <c r="AL193" s="5">
        <v>8.8000000000000007</v>
      </c>
      <c r="AM193" s="5">
        <v>15.1</v>
      </c>
      <c r="AN193" s="5">
        <v>11.2</v>
      </c>
      <c r="AO193" s="2">
        <v>2.7</v>
      </c>
      <c r="AP193" s="5" t="s">
        <v>443</v>
      </c>
      <c r="AQ193" s="5" t="s">
        <v>443</v>
      </c>
      <c r="AR193" s="2" t="s">
        <v>1370</v>
      </c>
      <c r="AS193" t="s">
        <v>1333</v>
      </c>
    </row>
    <row r="194" spans="1:45" x14ac:dyDescent="0.35">
      <c r="A194" t="s">
        <v>283</v>
      </c>
      <c r="B194" t="s">
        <v>236</v>
      </c>
      <c r="C194" t="s">
        <v>972</v>
      </c>
      <c r="D194" s="2" t="s">
        <v>592</v>
      </c>
      <c r="E194" s="2" t="s">
        <v>1368</v>
      </c>
      <c r="F194" s="2" t="s">
        <v>716</v>
      </c>
      <c r="G194" s="3">
        <v>1735</v>
      </c>
      <c r="H194" s="3">
        <v>65</v>
      </c>
      <c r="I194" s="3">
        <v>4</v>
      </c>
      <c r="J194" s="3">
        <v>94</v>
      </c>
      <c r="K194" s="3">
        <v>561</v>
      </c>
      <c r="L194" s="3">
        <v>428</v>
      </c>
      <c r="M194" s="3">
        <v>3518</v>
      </c>
      <c r="N194" s="3">
        <v>217</v>
      </c>
      <c r="O194" s="5">
        <v>88.7</v>
      </c>
      <c r="P194" s="5">
        <v>2</v>
      </c>
      <c r="Q194" s="5">
        <v>0.2</v>
      </c>
      <c r="R194" s="5">
        <v>9.1</v>
      </c>
      <c r="S194" s="5">
        <v>17.7</v>
      </c>
      <c r="T194" s="5">
        <v>9.9</v>
      </c>
      <c r="U194" s="5">
        <v>64.3</v>
      </c>
      <c r="V194" s="5">
        <v>8.1</v>
      </c>
      <c r="W194" s="5">
        <f t="shared" si="6"/>
        <v>72.399999999999991</v>
      </c>
      <c r="X194" s="3">
        <v>-2.6083726229643505</v>
      </c>
      <c r="Y194" t="s">
        <v>616</v>
      </c>
      <c r="Z194" s="4" t="s">
        <v>259</v>
      </c>
      <c r="AA194" t="s">
        <v>183</v>
      </c>
      <c r="AB194" t="s">
        <v>237</v>
      </c>
      <c r="AC194" t="s">
        <v>1333</v>
      </c>
      <c r="AD194" t="s">
        <v>785</v>
      </c>
      <c r="AE194" t="s">
        <v>1365</v>
      </c>
      <c r="AF194" t="s">
        <v>1378</v>
      </c>
      <c r="AG194" s="6">
        <v>0.3</v>
      </c>
      <c r="AH194" s="2">
        <v>0.02</v>
      </c>
      <c r="AI194" s="5">
        <v>3.9</v>
      </c>
      <c r="AJ194" s="5">
        <v>3.1</v>
      </c>
      <c r="AK194" s="5" t="s">
        <v>443</v>
      </c>
      <c r="AL194" s="5">
        <v>9.1</v>
      </c>
      <c r="AM194" s="5">
        <v>14.8</v>
      </c>
      <c r="AN194" s="5">
        <v>10.67</v>
      </c>
      <c r="AO194" s="2">
        <v>82.3</v>
      </c>
      <c r="AP194" s="5" t="s">
        <v>443</v>
      </c>
      <c r="AQ194" s="5" t="s">
        <v>443</v>
      </c>
      <c r="AR194" s="2" t="s">
        <v>1370</v>
      </c>
      <c r="AS194" t="s">
        <v>1333</v>
      </c>
    </row>
    <row r="195" spans="1:45" x14ac:dyDescent="0.35">
      <c r="A195" t="s">
        <v>284</v>
      </c>
      <c r="B195" t="s">
        <v>239</v>
      </c>
      <c r="C195" t="s">
        <v>972</v>
      </c>
      <c r="D195" s="2" t="s">
        <v>592</v>
      </c>
      <c r="E195" s="2" t="s">
        <v>1368</v>
      </c>
      <c r="F195" s="2" t="s">
        <v>716</v>
      </c>
      <c r="G195" s="3">
        <v>701</v>
      </c>
      <c r="H195" s="3">
        <v>3</v>
      </c>
      <c r="I195" s="3">
        <v>11</v>
      </c>
      <c r="J195" s="3">
        <v>34</v>
      </c>
      <c r="K195" s="3">
        <v>154</v>
      </c>
      <c r="L195" s="3">
        <v>130</v>
      </c>
      <c r="M195" s="3">
        <v>1339</v>
      </c>
      <c r="N195" s="3">
        <v>80</v>
      </c>
      <c r="O195" s="5">
        <v>89.9</v>
      </c>
      <c r="P195" s="5">
        <v>0.2</v>
      </c>
      <c r="Q195" s="5">
        <v>1.6</v>
      </c>
      <c r="R195" s="5">
        <v>8.3000000000000007</v>
      </c>
      <c r="S195" s="5">
        <v>13.7</v>
      </c>
      <c r="T195" s="5">
        <v>8.5</v>
      </c>
      <c r="U195" s="5">
        <v>69.3</v>
      </c>
      <c r="V195" s="5">
        <v>8.4</v>
      </c>
      <c r="W195" s="5">
        <f t="shared" si="6"/>
        <v>77.7</v>
      </c>
      <c r="X195" s="3">
        <v>3.4378438216352802</v>
      </c>
      <c r="Y195" t="s">
        <v>616</v>
      </c>
      <c r="Z195" s="4" t="s">
        <v>259</v>
      </c>
      <c r="AA195" t="s">
        <v>183</v>
      </c>
      <c r="AB195" t="s">
        <v>240</v>
      </c>
      <c r="AC195" t="s">
        <v>1333</v>
      </c>
      <c r="AD195" t="s">
        <v>784</v>
      </c>
      <c r="AE195" t="s">
        <v>1365</v>
      </c>
      <c r="AF195" t="s">
        <v>1378</v>
      </c>
      <c r="AG195" s="6">
        <v>0.21</v>
      </c>
      <c r="AH195" s="2">
        <v>0.02</v>
      </c>
      <c r="AI195" s="5">
        <v>1.8</v>
      </c>
      <c r="AJ195" s="5">
        <v>1.4</v>
      </c>
      <c r="AK195" s="5" t="s">
        <v>443</v>
      </c>
      <c r="AL195" s="5">
        <v>8.9</v>
      </c>
      <c r="AM195" s="5">
        <v>17</v>
      </c>
      <c r="AN195" s="5">
        <v>11.15</v>
      </c>
      <c r="AO195" s="2">
        <v>56.2</v>
      </c>
      <c r="AP195" s="5" t="s">
        <v>443</v>
      </c>
      <c r="AQ195" s="5" t="s">
        <v>443</v>
      </c>
      <c r="AR195" s="2" t="s">
        <v>1370</v>
      </c>
      <c r="AS195" t="s">
        <v>1333</v>
      </c>
    </row>
    <row r="196" spans="1:45" x14ac:dyDescent="0.35">
      <c r="A196" t="s">
        <v>285</v>
      </c>
      <c r="B196" t="s">
        <v>242</v>
      </c>
      <c r="C196" t="s">
        <v>972</v>
      </c>
      <c r="D196" s="2" t="s">
        <v>592</v>
      </c>
      <c r="E196" s="2" t="s">
        <v>1368</v>
      </c>
      <c r="F196" s="2" t="s">
        <v>716</v>
      </c>
      <c r="G196" s="3">
        <v>383</v>
      </c>
      <c r="H196" s="3">
        <v>12</v>
      </c>
      <c r="I196" s="3">
        <v>13</v>
      </c>
      <c r="J196" s="3">
        <v>45</v>
      </c>
      <c r="K196" s="3">
        <v>116</v>
      </c>
      <c r="L196" s="3">
        <v>87</v>
      </c>
      <c r="M196" s="3">
        <v>912</v>
      </c>
      <c r="N196" s="3">
        <v>67</v>
      </c>
      <c r="O196" s="5">
        <v>78.099999999999994</v>
      </c>
      <c r="P196" s="5">
        <v>1.4</v>
      </c>
      <c r="Q196" s="5">
        <v>3</v>
      </c>
      <c r="R196" s="5">
        <v>17.399999999999999</v>
      </c>
      <c r="S196" s="5">
        <v>14.7</v>
      </c>
      <c r="T196" s="5">
        <v>8.1</v>
      </c>
      <c r="U196" s="5">
        <v>67.099999999999994</v>
      </c>
      <c r="V196" s="5">
        <v>10</v>
      </c>
      <c r="W196" s="5">
        <f t="shared" si="6"/>
        <v>77.099999999999994</v>
      </c>
      <c r="X196" s="3">
        <v>-2.1662971590493796</v>
      </c>
      <c r="Y196" t="s">
        <v>616</v>
      </c>
      <c r="Z196" s="4" t="s">
        <v>259</v>
      </c>
      <c r="AA196" t="s">
        <v>183</v>
      </c>
      <c r="AB196" t="s">
        <v>243</v>
      </c>
      <c r="AC196" t="s">
        <v>1333</v>
      </c>
      <c r="AD196" t="s">
        <v>783</v>
      </c>
      <c r="AE196" t="s">
        <v>1365</v>
      </c>
      <c r="AF196" t="s">
        <v>1378</v>
      </c>
      <c r="AG196" s="6">
        <v>0.12</v>
      </c>
      <c r="AH196" s="2">
        <v>0.02</v>
      </c>
      <c r="AI196" s="5">
        <v>0.6</v>
      </c>
      <c r="AJ196" s="5">
        <v>0.4</v>
      </c>
      <c r="AK196" s="5" t="s">
        <v>443</v>
      </c>
      <c r="AL196" s="5">
        <v>8.6999999999999993</v>
      </c>
      <c r="AM196" s="5">
        <v>18.7</v>
      </c>
      <c r="AN196" s="5">
        <v>11.06</v>
      </c>
      <c r="AO196" s="2">
        <v>31.7</v>
      </c>
      <c r="AP196" s="5" t="s">
        <v>443</v>
      </c>
      <c r="AQ196" s="5" t="s">
        <v>443</v>
      </c>
      <c r="AR196" s="2" t="s">
        <v>1370</v>
      </c>
      <c r="AS196" t="s">
        <v>1333</v>
      </c>
    </row>
    <row r="197" spans="1:45" x14ac:dyDescent="0.35">
      <c r="A197" t="s">
        <v>286</v>
      </c>
      <c r="B197" t="s">
        <v>817</v>
      </c>
      <c r="C197" t="s">
        <v>972</v>
      </c>
      <c r="D197" s="2" t="s">
        <v>592</v>
      </c>
      <c r="E197" s="2" t="s">
        <v>1368</v>
      </c>
      <c r="F197" s="2" t="s">
        <v>716</v>
      </c>
      <c r="G197" s="3">
        <v>2068</v>
      </c>
      <c r="H197" s="3">
        <v>121</v>
      </c>
      <c r="I197" s="3">
        <v>8</v>
      </c>
      <c r="J197" s="3">
        <v>101</v>
      </c>
      <c r="K197" s="3">
        <v>1148</v>
      </c>
      <c r="L197" s="3">
        <v>500</v>
      </c>
      <c r="M197" s="3">
        <v>3552</v>
      </c>
      <c r="N197" s="3">
        <v>212</v>
      </c>
      <c r="O197" s="5">
        <v>88.4</v>
      </c>
      <c r="P197" s="5">
        <v>3</v>
      </c>
      <c r="Q197" s="5">
        <v>0.4</v>
      </c>
      <c r="R197" s="5">
        <v>8.1999999999999993</v>
      </c>
      <c r="S197" s="5">
        <v>30</v>
      </c>
      <c r="T197" s="5">
        <v>9.6</v>
      </c>
      <c r="U197" s="5">
        <v>53.9</v>
      </c>
      <c r="V197" s="5">
        <v>6.5</v>
      </c>
      <c r="W197" s="5">
        <f t="shared" si="6"/>
        <v>60.4</v>
      </c>
      <c r="X197" s="3">
        <v>-3.0082251325828619</v>
      </c>
      <c r="Y197" t="s">
        <v>616</v>
      </c>
      <c r="Z197" s="4" t="s">
        <v>259</v>
      </c>
      <c r="AA197" t="s">
        <v>183</v>
      </c>
      <c r="AB197" t="s">
        <v>245</v>
      </c>
      <c r="AC197" t="s">
        <v>1333</v>
      </c>
      <c r="AD197" t="s">
        <v>782</v>
      </c>
      <c r="AE197" t="s">
        <v>1365</v>
      </c>
      <c r="AF197" t="s">
        <v>1378</v>
      </c>
      <c r="AG197" s="6">
        <v>0.48</v>
      </c>
      <c r="AH197" s="2">
        <v>0.02</v>
      </c>
      <c r="AI197" s="5">
        <v>4.2</v>
      </c>
      <c r="AJ197" s="5">
        <v>3.4</v>
      </c>
      <c r="AK197" s="5" t="s">
        <v>443</v>
      </c>
      <c r="AL197" s="5">
        <v>9.3000000000000007</v>
      </c>
      <c r="AM197" s="5">
        <v>18.7</v>
      </c>
      <c r="AN197" s="5">
        <v>12.01</v>
      </c>
      <c r="AO197" s="2">
        <v>11.6</v>
      </c>
      <c r="AP197" s="5" t="s">
        <v>443</v>
      </c>
      <c r="AQ197" s="5" t="s">
        <v>443</v>
      </c>
      <c r="AR197" s="2" t="s">
        <v>1370</v>
      </c>
      <c r="AS197" t="s">
        <v>1333</v>
      </c>
    </row>
    <row r="198" spans="1:45" x14ac:dyDescent="0.35">
      <c r="A198" t="s">
        <v>287</v>
      </c>
      <c r="B198" t="s">
        <v>247</v>
      </c>
      <c r="C198" t="s">
        <v>972</v>
      </c>
      <c r="D198" s="2" t="s">
        <v>592</v>
      </c>
      <c r="E198" s="2" t="s">
        <v>1368</v>
      </c>
      <c r="F198" s="2" t="s">
        <v>716</v>
      </c>
      <c r="G198" s="3">
        <v>719</v>
      </c>
      <c r="H198" s="3">
        <v>10</v>
      </c>
      <c r="I198" s="3">
        <v>10</v>
      </c>
      <c r="J198" s="3">
        <v>6</v>
      </c>
      <c r="K198" s="3">
        <v>175</v>
      </c>
      <c r="L198" s="3">
        <v>400</v>
      </c>
      <c r="M198" s="3">
        <v>1268</v>
      </c>
      <c r="N198" s="3">
        <v>49</v>
      </c>
      <c r="O198" s="5">
        <v>96.2</v>
      </c>
      <c r="P198" s="5">
        <v>0.8</v>
      </c>
      <c r="Q198" s="5">
        <v>1.5</v>
      </c>
      <c r="R198" s="5">
        <v>1.5</v>
      </c>
      <c r="S198" s="5">
        <v>13.8</v>
      </c>
      <c r="T198" s="5">
        <v>23.3</v>
      </c>
      <c r="U198" s="5">
        <v>58.2</v>
      </c>
      <c r="V198" s="5">
        <v>4.5999999999999996</v>
      </c>
      <c r="W198" s="5">
        <f t="shared" si="6"/>
        <v>62.800000000000004</v>
      </c>
      <c r="X198" s="3">
        <v>-4.626043482357546</v>
      </c>
      <c r="Y198" t="s">
        <v>616</v>
      </c>
      <c r="Z198" s="4" t="s">
        <v>259</v>
      </c>
      <c r="AA198" t="s">
        <v>183</v>
      </c>
      <c r="AB198" t="s">
        <v>248</v>
      </c>
      <c r="AC198" t="s">
        <v>1333</v>
      </c>
      <c r="AD198" t="s">
        <v>781</v>
      </c>
      <c r="AE198" t="s">
        <v>1365</v>
      </c>
      <c r="AF198" t="s">
        <v>1378</v>
      </c>
      <c r="AG198" s="6">
        <v>0.18</v>
      </c>
      <c r="AH198" s="2">
        <v>0.02</v>
      </c>
      <c r="AI198" s="5">
        <v>1.2</v>
      </c>
      <c r="AJ198" s="5">
        <v>1</v>
      </c>
      <c r="AK198" s="5" t="s">
        <v>443</v>
      </c>
      <c r="AL198" s="5">
        <v>8.8000000000000007</v>
      </c>
      <c r="AM198" s="5">
        <v>17.100000000000001</v>
      </c>
      <c r="AN198" s="5">
        <v>9.9</v>
      </c>
      <c r="AO198" s="2">
        <v>17.399999999999999</v>
      </c>
      <c r="AP198" s="5" t="s">
        <v>443</v>
      </c>
      <c r="AQ198" s="5" t="s">
        <v>443</v>
      </c>
      <c r="AR198" s="2" t="s">
        <v>1370</v>
      </c>
      <c r="AS198" t="s">
        <v>1333</v>
      </c>
    </row>
    <row r="199" spans="1:45" x14ac:dyDescent="0.35">
      <c r="A199" t="s">
        <v>288</v>
      </c>
      <c r="B199" t="s">
        <v>818</v>
      </c>
      <c r="C199" t="s">
        <v>972</v>
      </c>
      <c r="D199" s="2" t="s">
        <v>592</v>
      </c>
      <c r="E199" s="2" t="s">
        <v>1368</v>
      </c>
      <c r="F199" s="2" t="s">
        <v>716</v>
      </c>
      <c r="G199" s="3">
        <v>378</v>
      </c>
      <c r="H199" s="3">
        <v>19</v>
      </c>
      <c r="I199" s="3">
        <v>27</v>
      </c>
      <c r="J199" s="3">
        <v>78</v>
      </c>
      <c r="K199" s="3">
        <v>110</v>
      </c>
      <c r="L199" s="3">
        <v>243</v>
      </c>
      <c r="M199" s="3">
        <v>717</v>
      </c>
      <c r="N199" s="3">
        <v>70</v>
      </c>
      <c r="O199" s="5">
        <v>66.599999999999994</v>
      </c>
      <c r="P199" s="5">
        <v>2</v>
      </c>
      <c r="Q199" s="5">
        <v>5.5</v>
      </c>
      <c r="R199" s="5">
        <v>26</v>
      </c>
      <c r="S199" s="5">
        <v>13.9</v>
      </c>
      <c r="T199" s="5">
        <v>22.7</v>
      </c>
      <c r="U199" s="5">
        <v>52.8</v>
      </c>
      <c r="V199" s="5">
        <v>10.5</v>
      </c>
      <c r="W199" s="5">
        <f t="shared" si="6"/>
        <v>63.3</v>
      </c>
      <c r="X199" s="3">
        <v>5.2173038181846474</v>
      </c>
      <c r="Y199" t="s">
        <v>616</v>
      </c>
      <c r="Z199" s="4" t="s">
        <v>259</v>
      </c>
      <c r="AA199" t="s">
        <v>183</v>
      </c>
      <c r="AB199" t="s">
        <v>251</v>
      </c>
      <c r="AC199" t="s">
        <v>1333</v>
      </c>
      <c r="AD199" t="s">
        <v>780</v>
      </c>
      <c r="AE199" t="s">
        <v>1365</v>
      </c>
      <c r="AF199" t="s">
        <v>1378</v>
      </c>
      <c r="AG199" s="6">
        <v>0.39</v>
      </c>
      <c r="AH199" s="2">
        <v>0.02</v>
      </c>
      <c r="AI199" s="5">
        <v>2.2999999999999998</v>
      </c>
      <c r="AJ199" s="5">
        <v>1.8</v>
      </c>
      <c r="AK199" s="5" t="s">
        <v>443</v>
      </c>
      <c r="AL199" s="5">
        <v>8.6999999999999993</v>
      </c>
      <c r="AM199" s="5">
        <v>13.8</v>
      </c>
      <c r="AN199" s="5">
        <v>10.4</v>
      </c>
      <c r="AO199" s="2">
        <v>5</v>
      </c>
      <c r="AP199" s="5" t="s">
        <v>443</v>
      </c>
      <c r="AQ199" s="5" t="s">
        <v>443</v>
      </c>
      <c r="AR199" s="2" t="s">
        <v>1370</v>
      </c>
      <c r="AS199" t="s">
        <v>1333</v>
      </c>
    </row>
    <row r="200" spans="1:45" x14ac:dyDescent="0.35">
      <c r="A200" t="s">
        <v>289</v>
      </c>
      <c r="B200" t="s">
        <v>193</v>
      </c>
      <c r="C200" t="s">
        <v>972</v>
      </c>
      <c r="D200" s="2" t="s">
        <v>592</v>
      </c>
      <c r="E200" s="2" t="s">
        <v>1368</v>
      </c>
      <c r="F200" s="2" t="s">
        <v>716</v>
      </c>
      <c r="G200" s="3">
        <v>1257</v>
      </c>
      <c r="H200" s="3">
        <v>69</v>
      </c>
      <c r="I200" s="3">
        <v>15</v>
      </c>
      <c r="J200" s="3">
        <v>89</v>
      </c>
      <c r="K200" s="3">
        <v>551</v>
      </c>
      <c r="L200" s="3">
        <v>1036</v>
      </c>
      <c r="M200" s="3">
        <v>1755</v>
      </c>
      <c r="N200" s="3">
        <v>128</v>
      </c>
      <c r="O200" s="5">
        <v>84.8</v>
      </c>
      <c r="P200" s="5">
        <v>2.7</v>
      </c>
      <c r="Q200" s="5">
        <v>1.2</v>
      </c>
      <c r="R200" s="5">
        <v>11.4</v>
      </c>
      <c r="S200" s="5">
        <v>22.2</v>
      </c>
      <c r="T200" s="5">
        <v>30.8</v>
      </c>
      <c r="U200" s="5">
        <v>41</v>
      </c>
      <c r="V200" s="5">
        <v>6.1</v>
      </c>
      <c r="W200" s="5">
        <f t="shared" si="6"/>
        <v>47.1</v>
      </c>
      <c r="X200" s="3">
        <v>-4.1783426398979353</v>
      </c>
      <c r="Y200" t="s">
        <v>616</v>
      </c>
      <c r="Z200" s="4" t="s">
        <v>259</v>
      </c>
      <c r="AA200" t="s">
        <v>183</v>
      </c>
      <c r="AB200" t="s">
        <v>253</v>
      </c>
      <c r="AC200" t="s">
        <v>1333</v>
      </c>
      <c r="AD200" t="s">
        <v>779</v>
      </c>
      <c r="AE200" t="s">
        <v>1365</v>
      </c>
      <c r="AF200" t="s">
        <v>1378</v>
      </c>
      <c r="AG200" s="6">
        <v>0.26</v>
      </c>
      <c r="AH200" s="2">
        <v>0.02</v>
      </c>
      <c r="AI200" s="5">
        <v>2.1</v>
      </c>
      <c r="AJ200" s="5">
        <v>1.7</v>
      </c>
      <c r="AK200" s="5" t="s">
        <v>443</v>
      </c>
      <c r="AL200" s="5">
        <v>9.1999999999999993</v>
      </c>
      <c r="AM200" s="5">
        <v>17.7</v>
      </c>
      <c r="AN200" s="5">
        <v>10.9</v>
      </c>
      <c r="AO200" s="2">
        <v>33.1</v>
      </c>
      <c r="AP200" s="5" t="s">
        <v>443</v>
      </c>
      <c r="AQ200" s="5" t="s">
        <v>443</v>
      </c>
      <c r="AR200" s="2" t="s">
        <v>1370</v>
      </c>
      <c r="AS200" t="s">
        <v>1333</v>
      </c>
    </row>
    <row r="201" spans="1:45" x14ac:dyDescent="0.35">
      <c r="A201" t="s">
        <v>290</v>
      </c>
      <c r="B201" t="s">
        <v>291</v>
      </c>
      <c r="C201" t="s">
        <v>1065</v>
      </c>
      <c r="D201" s="2" t="s">
        <v>592</v>
      </c>
      <c r="E201" s="2" t="s">
        <v>1368</v>
      </c>
      <c r="F201" s="2" t="s">
        <v>718</v>
      </c>
      <c r="G201" s="3">
        <v>774</v>
      </c>
      <c r="H201" s="3">
        <v>45</v>
      </c>
      <c r="I201" s="3">
        <v>13</v>
      </c>
      <c r="J201" s="3">
        <v>65</v>
      </c>
      <c r="K201" s="3">
        <v>317</v>
      </c>
      <c r="L201" s="3">
        <v>1000</v>
      </c>
      <c r="M201" s="3">
        <v>589</v>
      </c>
      <c r="N201" s="3">
        <v>82</v>
      </c>
      <c r="O201" s="5">
        <v>82.5</v>
      </c>
      <c r="P201" s="5">
        <v>2.8</v>
      </c>
      <c r="Q201" s="5">
        <v>1.6</v>
      </c>
      <c r="R201" s="5">
        <v>13.1</v>
      </c>
      <c r="S201" s="5">
        <v>21.2</v>
      </c>
      <c r="T201" s="5">
        <v>49.4</v>
      </c>
      <c r="U201" s="5">
        <v>22.9</v>
      </c>
      <c r="V201" s="5">
        <v>6.5</v>
      </c>
      <c r="W201" s="5">
        <f t="shared" si="6"/>
        <v>29.4</v>
      </c>
      <c r="X201" s="3">
        <v>-1.6057394279082711</v>
      </c>
      <c r="Y201" t="s">
        <v>616</v>
      </c>
      <c r="Z201" s="4" t="s">
        <v>259</v>
      </c>
      <c r="AA201" t="s">
        <v>183</v>
      </c>
      <c r="AB201" t="s">
        <v>292</v>
      </c>
      <c r="AC201" t="s">
        <v>1332</v>
      </c>
      <c r="AD201" t="s">
        <v>778</v>
      </c>
      <c r="AE201" t="s">
        <v>1365</v>
      </c>
      <c r="AF201" t="s">
        <v>1378</v>
      </c>
      <c r="AG201" s="6">
        <v>0.35</v>
      </c>
      <c r="AH201" s="2">
        <v>0.02</v>
      </c>
      <c r="AI201" s="5">
        <v>4.0999999999999996</v>
      </c>
      <c r="AJ201" s="5">
        <v>3.3</v>
      </c>
      <c r="AK201" s="5" t="s">
        <v>443</v>
      </c>
      <c r="AL201" s="5">
        <v>9.1</v>
      </c>
      <c r="AM201" s="5">
        <v>13.6</v>
      </c>
      <c r="AN201" s="5">
        <v>10.6</v>
      </c>
      <c r="AO201" s="2">
        <v>37.9</v>
      </c>
      <c r="AP201" s="5" t="s">
        <v>443</v>
      </c>
      <c r="AQ201" s="5" t="s">
        <v>443</v>
      </c>
      <c r="AR201" s="2" t="s">
        <v>1370</v>
      </c>
      <c r="AS201" t="s">
        <v>1332</v>
      </c>
    </row>
    <row r="202" spans="1:45" x14ac:dyDescent="0.35">
      <c r="A202" t="s">
        <v>293</v>
      </c>
      <c r="B202" t="s">
        <v>294</v>
      </c>
      <c r="C202" t="s">
        <v>972</v>
      </c>
      <c r="D202" s="2" t="s">
        <v>592</v>
      </c>
      <c r="E202" s="2" t="s">
        <v>1368</v>
      </c>
      <c r="F202" s="2" t="s">
        <v>716</v>
      </c>
      <c r="G202" s="3">
        <v>2159</v>
      </c>
      <c r="H202" s="3">
        <v>46</v>
      </c>
      <c r="I202" s="3">
        <v>21</v>
      </c>
      <c r="J202" s="3">
        <v>263</v>
      </c>
      <c r="K202" s="3">
        <v>609</v>
      </c>
      <c r="L202" s="3">
        <v>1046</v>
      </c>
      <c r="M202" s="3">
        <v>1957</v>
      </c>
      <c r="N202" s="3">
        <v>246</v>
      </c>
      <c r="O202" s="5">
        <v>79.7</v>
      </c>
      <c r="P202" s="5">
        <v>1</v>
      </c>
      <c r="Q202" s="5">
        <v>0.9</v>
      </c>
      <c r="R202" s="5">
        <v>18.399999999999999</v>
      </c>
      <c r="S202" s="5">
        <v>21.7</v>
      </c>
      <c r="T202" s="5">
        <v>27.5</v>
      </c>
      <c r="U202" s="5">
        <v>40.5</v>
      </c>
      <c r="V202" s="5">
        <v>10.3</v>
      </c>
      <c r="W202" s="5">
        <f t="shared" si="6"/>
        <v>50.8</v>
      </c>
      <c r="X202" s="3">
        <v>19.568715931383927</v>
      </c>
      <c r="Y202" t="s">
        <v>616</v>
      </c>
      <c r="Z202" s="4" t="s">
        <v>259</v>
      </c>
      <c r="AA202" t="s">
        <v>183</v>
      </c>
      <c r="AB202" t="s">
        <v>295</v>
      </c>
      <c r="AC202" t="s">
        <v>1332</v>
      </c>
      <c r="AD202" t="s">
        <v>777</v>
      </c>
      <c r="AE202" t="s">
        <v>1365</v>
      </c>
      <c r="AF202" t="s">
        <v>1378</v>
      </c>
      <c r="AG202" s="6">
        <v>0.31</v>
      </c>
      <c r="AH202" s="2">
        <v>0.02</v>
      </c>
      <c r="AI202" s="5">
        <v>9.1</v>
      </c>
      <c r="AJ202" s="5">
        <v>7.3</v>
      </c>
      <c r="AK202" s="5" t="s">
        <v>443</v>
      </c>
      <c r="AL202" s="5">
        <v>9.1999999999999993</v>
      </c>
      <c r="AM202" s="5">
        <v>17.8</v>
      </c>
      <c r="AN202" s="5">
        <v>9.31</v>
      </c>
      <c r="AO202" s="2">
        <v>44.2</v>
      </c>
      <c r="AP202" s="5" t="s">
        <v>443</v>
      </c>
      <c r="AQ202" s="5" t="s">
        <v>443</v>
      </c>
      <c r="AR202" s="2" t="s">
        <v>1370</v>
      </c>
      <c r="AS202" t="s">
        <v>1332</v>
      </c>
    </row>
    <row r="203" spans="1:45" x14ac:dyDescent="0.35">
      <c r="A203" t="s">
        <v>296</v>
      </c>
      <c r="B203" t="s">
        <v>297</v>
      </c>
      <c r="C203" t="s">
        <v>972</v>
      </c>
      <c r="D203" s="2" t="s">
        <v>592</v>
      </c>
      <c r="E203" s="2" t="s">
        <v>1368</v>
      </c>
      <c r="F203" s="2" t="s">
        <v>716</v>
      </c>
      <c r="G203" s="3" t="s">
        <v>443</v>
      </c>
      <c r="H203" s="3" t="s">
        <v>443</v>
      </c>
      <c r="I203" s="3" t="s">
        <v>443</v>
      </c>
      <c r="J203" s="3" t="s">
        <v>443</v>
      </c>
      <c r="K203" s="3" t="s">
        <v>443</v>
      </c>
      <c r="L203" s="3" t="s">
        <v>443</v>
      </c>
      <c r="M203" s="3" t="s">
        <v>443</v>
      </c>
      <c r="N203" s="3" t="s">
        <v>443</v>
      </c>
      <c r="O203" s="5">
        <v>83</v>
      </c>
      <c r="P203" s="5">
        <v>2.1</v>
      </c>
      <c r="Q203" s="5">
        <v>1.2</v>
      </c>
      <c r="R203" s="5">
        <v>13.8</v>
      </c>
      <c r="S203" s="5">
        <v>17.7</v>
      </c>
      <c r="T203" s="5">
        <v>25.5</v>
      </c>
      <c r="U203" s="5">
        <v>46.1</v>
      </c>
      <c r="V203" s="5">
        <v>10.7</v>
      </c>
      <c r="W203" s="5">
        <f t="shared" si="6"/>
        <v>56.8</v>
      </c>
      <c r="X203" s="3" t="s">
        <v>443</v>
      </c>
      <c r="Y203" t="s">
        <v>1353</v>
      </c>
      <c r="Z203" s="4" t="s">
        <v>259</v>
      </c>
      <c r="AA203" t="s">
        <v>183</v>
      </c>
      <c r="AB203" t="s">
        <v>210</v>
      </c>
      <c r="AC203" t="s">
        <v>1333</v>
      </c>
      <c r="AD203" t="s">
        <v>776</v>
      </c>
      <c r="AE203" t="s">
        <v>1365</v>
      </c>
      <c r="AF203" t="s">
        <v>1378</v>
      </c>
      <c r="AG203" s="6">
        <v>0.28000000000000003</v>
      </c>
      <c r="AH203" s="2">
        <v>0.02</v>
      </c>
      <c r="AI203" s="5">
        <v>1.2</v>
      </c>
      <c r="AJ203" s="5">
        <v>1</v>
      </c>
      <c r="AK203" s="5" t="s">
        <v>443</v>
      </c>
      <c r="AL203" s="5">
        <v>8.6999999999999993</v>
      </c>
      <c r="AM203" s="5">
        <v>11.1</v>
      </c>
      <c r="AN203" s="5">
        <v>9.9</v>
      </c>
      <c r="AO203" s="2">
        <v>74.7</v>
      </c>
      <c r="AP203" s="5" t="s">
        <v>443</v>
      </c>
      <c r="AQ203" s="5" t="s">
        <v>443</v>
      </c>
      <c r="AR203" s="2" t="s">
        <v>1370</v>
      </c>
      <c r="AS203" t="s">
        <v>1332</v>
      </c>
    </row>
    <row r="204" spans="1:45" x14ac:dyDescent="0.35">
      <c r="A204" t="s">
        <v>298</v>
      </c>
      <c r="B204" t="s">
        <v>256</v>
      </c>
      <c r="C204" t="s">
        <v>972</v>
      </c>
      <c r="D204" s="2" t="s">
        <v>592</v>
      </c>
      <c r="E204" s="2" t="s">
        <v>1368</v>
      </c>
      <c r="F204" s="2" t="s">
        <v>716</v>
      </c>
      <c r="G204" s="3" t="s">
        <v>443</v>
      </c>
      <c r="H204" s="3" t="s">
        <v>443</v>
      </c>
      <c r="I204" s="3" t="s">
        <v>443</v>
      </c>
      <c r="J204" s="3" t="s">
        <v>443</v>
      </c>
      <c r="K204" s="3" t="s">
        <v>443</v>
      </c>
      <c r="L204" s="3" t="s">
        <v>443</v>
      </c>
      <c r="M204" s="3" t="s">
        <v>443</v>
      </c>
      <c r="N204" s="3" t="s">
        <v>443</v>
      </c>
      <c r="O204" s="5">
        <v>94</v>
      </c>
      <c r="P204" s="5">
        <v>2.4</v>
      </c>
      <c r="Q204" s="5">
        <v>1</v>
      </c>
      <c r="R204" s="5">
        <v>2.6</v>
      </c>
      <c r="S204" s="5">
        <v>12.6</v>
      </c>
      <c r="T204" s="5">
        <v>34.1</v>
      </c>
      <c r="U204" s="5">
        <v>51.6</v>
      </c>
      <c r="V204" s="5">
        <v>1.8</v>
      </c>
      <c r="W204" s="5">
        <f t="shared" si="6"/>
        <v>53.4</v>
      </c>
      <c r="X204" s="3" t="s">
        <v>443</v>
      </c>
      <c r="Y204" t="s">
        <v>1353</v>
      </c>
      <c r="Z204" s="4" t="s">
        <v>259</v>
      </c>
      <c r="AA204" t="s">
        <v>183</v>
      </c>
      <c r="AB204" t="s">
        <v>257</v>
      </c>
      <c r="AC204" t="s">
        <v>1333</v>
      </c>
      <c r="AD204" t="s">
        <v>775</v>
      </c>
      <c r="AE204" t="s">
        <v>1365</v>
      </c>
      <c r="AF204" t="s">
        <v>1378</v>
      </c>
      <c r="AG204" s="6">
        <v>0.12</v>
      </c>
      <c r="AH204" s="2">
        <v>0.02</v>
      </c>
      <c r="AI204" s="5">
        <v>1</v>
      </c>
      <c r="AJ204" s="5">
        <v>0.8</v>
      </c>
      <c r="AK204" s="5" t="s">
        <v>443</v>
      </c>
      <c r="AL204" s="5">
        <v>9.1</v>
      </c>
      <c r="AM204" s="5">
        <v>22</v>
      </c>
      <c r="AN204" s="5">
        <v>9.4499999999999993</v>
      </c>
      <c r="AO204" s="2">
        <v>25.3</v>
      </c>
      <c r="AP204" s="5" t="s">
        <v>443</v>
      </c>
      <c r="AQ204" s="5" t="s">
        <v>443</v>
      </c>
      <c r="AR204" s="2" t="s">
        <v>1370</v>
      </c>
      <c r="AS204" t="s">
        <v>1333</v>
      </c>
    </row>
    <row r="205" spans="1:45" x14ac:dyDescent="0.35">
      <c r="A205" t="s">
        <v>638</v>
      </c>
      <c r="B205" s="8" t="s">
        <v>989</v>
      </c>
      <c r="C205" s="8" t="s">
        <v>972</v>
      </c>
      <c r="D205" s="2" t="s">
        <v>592</v>
      </c>
      <c r="E205" s="2" t="s">
        <v>1368</v>
      </c>
      <c r="F205" s="2" t="s">
        <v>718</v>
      </c>
      <c r="G205" s="3">
        <v>1567</v>
      </c>
      <c r="H205" s="3">
        <v>9</v>
      </c>
      <c r="I205" s="3">
        <v>15</v>
      </c>
      <c r="J205" s="3">
        <v>18</v>
      </c>
      <c r="K205" s="3">
        <v>1101</v>
      </c>
      <c r="L205" s="3">
        <v>280</v>
      </c>
      <c r="M205" s="3">
        <v>1314</v>
      </c>
      <c r="N205" s="3">
        <v>249</v>
      </c>
      <c r="O205" s="5">
        <v>96.5</v>
      </c>
      <c r="P205" s="5">
        <v>0.3</v>
      </c>
      <c r="Q205" s="5">
        <v>1.1000000000000001</v>
      </c>
      <c r="R205" s="5">
        <v>2.1</v>
      </c>
      <c r="S205" s="5">
        <v>46.5</v>
      </c>
      <c r="T205" s="5">
        <v>8.6999999999999993</v>
      </c>
      <c r="U205" s="5">
        <v>32.299999999999997</v>
      </c>
      <c r="V205" s="5">
        <v>12.4</v>
      </c>
      <c r="W205" s="5">
        <f t="shared" si="6"/>
        <v>44.699999999999996</v>
      </c>
      <c r="X205" s="2">
        <v>3</v>
      </c>
      <c r="Y205" t="s">
        <v>616</v>
      </c>
      <c r="Z205" s="4" t="s">
        <v>639</v>
      </c>
      <c r="AA205" t="s">
        <v>10</v>
      </c>
      <c r="AB205" t="s">
        <v>692</v>
      </c>
      <c r="AC205" t="s">
        <v>609</v>
      </c>
      <c r="AD205" t="s">
        <v>1254</v>
      </c>
      <c r="AE205" t="s">
        <v>1365</v>
      </c>
      <c r="AF205" t="s">
        <v>1376</v>
      </c>
      <c r="AG205" s="10">
        <v>0.12</v>
      </c>
      <c r="AH205" s="11" t="s">
        <v>966</v>
      </c>
      <c r="AI205" s="5">
        <v>6.2</v>
      </c>
      <c r="AJ205" s="5">
        <f t="shared" ref="AJ205:AJ226" si="7">0.8*AI205</f>
        <v>4.9600000000000009</v>
      </c>
      <c r="AK205" s="5" t="s">
        <v>443</v>
      </c>
      <c r="AL205" s="5">
        <v>9.1999999999999993</v>
      </c>
      <c r="AM205" s="5" t="s">
        <v>659</v>
      </c>
      <c r="AN205" s="12">
        <v>9.18</v>
      </c>
      <c r="AO205" s="2" t="s">
        <v>443</v>
      </c>
      <c r="AP205" s="5" t="s">
        <v>443</v>
      </c>
      <c r="AQ205" s="5" t="s">
        <v>443</v>
      </c>
      <c r="AR205" s="2" t="s">
        <v>1370</v>
      </c>
      <c r="AS205" t="s">
        <v>609</v>
      </c>
    </row>
    <row r="206" spans="1:45" x14ac:dyDescent="0.35">
      <c r="A206" t="s">
        <v>678</v>
      </c>
      <c r="B206" s="8" t="s">
        <v>990</v>
      </c>
      <c r="C206" s="8" t="s">
        <v>972</v>
      </c>
      <c r="D206" s="2" t="s">
        <v>592</v>
      </c>
      <c r="E206" s="2" t="s">
        <v>1368</v>
      </c>
      <c r="F206" s="2" t="s">
        <v>716</v>
      </c>
      <c r="G206" s="3">
        <v>914</v>
      </c>
      <c r="H206" s="3">
        <v>0</v>
      </c>
      <c r="I206" s="3">
        <v>8</v>
      </c>
      <c r="J206" s="3">
        <v>9</v>
      </c>
      <c r="K206" s="3">
        <v>505</v>
      </c>
      <c r="L206" s="3">
        <v>157</v>
      </c>
      <c r="M206" s="3">
        <v>1213</v>
      </c>
      <c r="N206" s="3">
        <v>73</v>
      </c>
      <c r="O206" s="5">
        <v>97.3</v>
      </c>
      <c r="P206" s="5">
        <v>0</v>
      </c>
      <c r="Q206" s="5">
        <v>0.9</v>
      </c>
      <c r="R206" s="5">
        <v>1.8</v>
      </c>
      <c r="S206" s="5">
        <v>35.799999999999997</v>
      </c>
      <c r="T206" s="5">
        <v>8.1999999999999993</v>
      </c>
      <c r="U206" s="5">
        <v>49.9</v>
      </c>
      <c r="V206" s="5">
        <v>6.1</v>
      </c>
      <c r="W206" s="5">
        <f t="shared" si="6"/>
        <v>56</v>
      </c>
      <c r="X206" s="3">
        <v>1.3256384031206969</v>
      </c>
      <c r="Y206" t="s">
        <v>616</v>
      </c>
      <c r="Z206" s="4" t="s">
        <v>639</v>
      </c>
      <c r="AA206" t="s">
        <v>10</v>
      </c>
      <c r="AB206" s="13" t="s">
        <v>85</v>
      </c>
      <c r="AC206" t="s">
        <v>609</v>
      </c>
      <c r="AD206" t="s">
        <v>1255</v>
      </c>
      <c r="AE206" t="s">
        <v>1365</v>
      </c>
      <c r="AF206" t="s">
        <v>1376</v>
      </c>
      <c r="AG206" s="10">
        <v>0.42</v>
      </c>
      <c r="AH206" s="11" t="s">
        <v>966</v>
      </c>
      <c r="AI206" s="5">
        <v>4.8</v>
      </c>
      <c r="AJ206" s="5">
        <f t="shared" si="7"/>
        <v>3.84</v>
      </c>
      <c r="AK206" s="5" t="s">
        <v>443</v>
      </c>
      <c r="AL206" s="5">
        <v>8.6999999999999993</v>
      </c>
      <c r="AM206" s="5" t="s">
        <v>660</v>
      </c>
      <c r="AN206" s="12">
        <v>4.29</v>
      </c>
      <c r="AO206" s="2" t="s">
        <v>443</v>
      </c>
      <c r="AP206" s="5" t="s">
        <v>443</v>
      </c>
      <c r="AQ206" s="5" t="s">
        <v>443</v>
      </c>
      <c r="AR206" s="2" t="s">
        <v>1370</v>
      </c>
      <c r="AS206" t="s">
        <v>609</v>
      </c>
    </row>
    <row r="207" spans="1:45" x14ac:dyDescent="0.35">
      <c r="A207" t="s">
        <v>679</v>
      </c>
      <c r="B207" s="8" t="s">
        <v>991</v>
      </c>
      <c r="C207" s="8" t="s">
        <v>1057</v>
      </c>
      <c r="D207" s="2" t="s">
        <v>592</v>
      </c>
      <c r="E207" s="2" t="s">
        <v>1368</v>
      </c>
      <c r="F207" s="2" t="s">
        <v>619</v>
      </c>
      <c r="G207" s="3" t="s">
        <v>443</v>
      </c>
      <c r="H207" s="3" t="s">
        <v>443</v>
      </c>
      <c r="I207" s="3" t="s">
        <v>443</v>
      </c>
      <c r="J207" s="3" t="s">
        <v>443</v>
      </c>
      <c r="K207" s="3" t="s">
        <v>443</v>
      </c>
      <c r="L207" s="3" t="s">
        <v>443</v>
      </c>
      <c r="M207" s="3" t="s">
        <v>443</v>
      </c>
      <c r="N207" s="3" t="s">
        <v>443</v>
      </c>
      <c r="O207" s="5" t="s">
        <v>443</v>
      </c>
      <c r="P207" s="5" t="s">
        <v>443</v>
      </c>
      <c r="Q207" s="5" t="s">
        <v>443</v>
      </c>
      <c r="R207" s="5" t="s">
        <v>443</v>
      </c>
      <c r="S207" s="5" t="s">
        <v>443</v>
      </c>
      <c r="T207" s="5" t="s">
        <v>443</v>
      </c>
      <c r="U207" s="5" t="s">
        <v>443</v>
      </c>
      <c r="V207" s="5" t="s">
        <v>443</v>
      </c>
      <c r="W207" s="5" t="s">
        <v>443</v>
      </c>
      <c r="X207" s="3" t="s">
        <v>443</v>
      </c>
      <c r="Y207" t="s">
        <v>605</v>
      </c>
      <c r="Z207" s="4" t="s">
        <v>639</v>
      </c>
      <c r="AA207" t="s">
        <v>132</v>
      </c>
      <c r="AB207" s="9" t="s">
        <v>695</v>
      </c>
      <c r="AC207" t="s">
        <v>609</v>
      </c>
      <c r="AD207" t="s">
        <v>1250</v>
      </c>
      <c r="AE207" t="s">
        <v>1365</v>
      </c>
      <c r="AF207" t="s">
        <v>1376</v>
      </c>
      <c r="AG207" s="10">
        <v>1.85</v>
      </c>
      <c r="AH207" s="11" t="s">
        <v>966</v>
      </c>
      <c r="AI207" s="5">
        <v>0.5</v>
      </c>
      <c r="AJ207" s="5">
        <f t="shared" si="7"/>
        <v>0.4</v>
      </c>
      <c r="AK207" s="5" t="s">
        <v>443</v>
      </c>
      <c r="AL207" s="5">
        <v>7.9</v>
      </c>
      <c r="AM207" s="5" t="s">
        <v>661</v>
      </c>
      <c r="AN207" s="12">
        <v>6.26</v>
      </c>
      <c r="AO207" s="2" t="s">
        <v>443</v>
      </c>
      <c r="AP207" s="5" t="s">
        <v>443</v>
      </c>
      <c r="AQ207" s="5" t="s">
        <v>443</v>
      </c>
      <c r="AR207" s="2" t="s">
        <v>1370</v>
      </c>
      <c r="AS207" t="s">
        <v>609</v>
      </c>
    </row>
    <row r="208" spans="1:45" x14ac:dyDescent="0.35">
      <c r="A208" t="s">
        <v>697</v>
      </c>
      <c r="B208" s="8" t="s">
        <v>131</v>
      </c>
      <c r="C208" s="8" t="s">
        <v>1068</v>
      </c>
      <c r="D208" s="2" t="s">
        <v>592</v>
      </c>
      <c r="E208" s="2" t="s">
        <v>1368</v>
      </c>
      <c r="F208" s="2" t="s">
        <v>619</v>
      </c>
      <c r="G208" s="3" t="s">
        <v>443</v>
      </c>
      <c r="H208" s="3" t="s">
        <v>443</v>
      </c>
      <c r="I208" s="3" t="s">
        <v>443</v>
      </c>
      <c r="J208" s="3" t="s">
        <v>443</v>
      </c>
      <c r="K208" s="3" t="s">
        <v>443</v>
      </c>
      <c r="L208" s="3" t="s">
        <v>443</v>
      </c>
      <c r="M208" s="3" t="s">
        <v>443</v>
      </c>
      <c r="N208" s="3" t="s">
        <v>443</v>
      </c>
      <c r="O208" s="5" t="s">
        <v>443</v>
      </c>
      <c r="P208" s="5" t="s">
        <v>443</v>
      </c>
      <c r="Q208" s="5" t="s">
        <v>443</v>
      </c>
      <c r="R208" s="5" t="s">
        <v>443</v>
      </c>
      <c r="S208" s="5" t="s">
        <v>443</v>
      </c>
      <c r="T208" s="5" t="s">
        <v>443</v>
      </c>
      <c r="U208" s="5" t="s">
        <v>443</v>
      </c>
      <c r="V208" s="5" t="s">
        <v>443</v>
      </c>
      <c r="W208" s="5" t="s">
        <v>443</v>
      </c>
      <c r="X208" s="3" t="s">
        <v>443</v>
      </c>
      <c r="Y208" t="s">
        <v>605</v>
      </c>
      <c r="Z208" s="4" t="s">
        <v>639</v>
      </c>
      <c r="AA208" t="s">
        <v>132</v>
      </c>
      <c r="AB208" s="9" t="s">
        <v>696</v>
      </c>
      <c r="AC208" t="s">
        <v>609</v>
      </c>
      <c r="AD208" t="s">
        <v>1251</v>
      </c>
      <c r="AE208" t="s">
        <v>1365</v>
      </c>
      <c r="AF208" t="s">
        <v>1376</v>
      </c>
      <c r="AG208" s="10">
        <v>1.6</v>
      </c>
      <c r="AH208" s="11" t="s">
        <v>966</v>
      </c>
      <c r="AI208" s="5">
        <v>0.3</v>
      </c>
      <c r="AJ208" s="5">
        <f t="shared" si="7"/>
        <v>0.24</v>
      </c>
      <c r="AK208" s="5" t="s">
        <v>443</v>
      </c>
      <c r="AL208" s="5">
        <v>7.2</v>
      </c>
      <c r="AM208" s="5" t="s">
        <v>661</v>
      </c>
      <c r="AN208" s="12">
        <v>6.6</v>
      </c>
      <c r="AO208" s="2" t="s">
        <v>443</v>
      </c>
      <c r="AP208" s="5" t="s">
        <v>443</v>
      </c>
      <c r="AQ208" s="5" t="s">
        <v>443</v>
      </c>
      <c r="AR208" s="2" t="s">
        <v>1370</v>
      </c>
      <c r="AS208" t="s">
        <v>609</v>
      </c>
    </row>
    <row r="209" spans="1:45" x14ac:dyDescent="0.35">
      <c r="A209" t="s">
        <v>698</v>
      </c>
      <c r="B209" s="8" t="s">
        <v>1007</v>
      </c>
      <c r="C209" t="s">
        <v>1035</v>
      </c>
      <c r="D209" s="2" t="s">
        <v>592</v>
      </c>
      <c r="E209" s="2" t="s">
        <v>1368</v>
      </c>
      <c r="F209" t="s">
        <v>716</v>
      </c>
      <c r="G209" s="3">
        <v>279</v>
      </c>
      <c r="H209" s="3">
        <v>3</v>
      </c>
      <c r="I209" s="3">
        <v>18</v>
      </c>
      <c r="J209" s="3">
        <v>31</v>
      </c>
      <c r="K209" s="3">
        <v>250</v>
      </c>
      <c r="L209" s="3">
        <v>35</v>
      </c>
      <c r="M209" s="3">
        <v>420</v>
      </c>
      <c r="N209" s="3">
        <v>80</v>
      </c>
      <c r="O209" s="5">
        <v>77.3</v>
      </c>
      <c r="P209" s="5">
        <v>0.5</v>
      </c>
      <c r="Q209" s="5">
        <v>5.7</v>
      </c>
      <c r="R209" s="5">
        <v>16.5</v>
      </c>
      <c r="S209" s="5">
        <v>40.700000000000003</v>
      </c>
      <c r="T209" s="5">
        <v>4.2</v>
      </c>
      <c r="U209" s="5">
        <v>39.700000000000003</v>
      </c>
      <c r="V209" s="5">
        <v>15.4</v>
      </c>
      <c r="W209" s="5">
        <f>SUM(U209:V209)</f>
        <v>55.1</v>
      </c>
      <c r="X209" s="3">
        <v>-5.0571038729412345</v>
      </c>
      <c r="Y209" t="s">
        <v>609</v>
      </c>
      <c r="Z209" s="4" t="s">
        <v>639</v>
      </c>
      <c r="AA209" t="s">
        <v>352</v>
      </c>
      <c r="AB209" s="9" t="s">
        <v>643</v>
      </c>
      <c r="AC209" t="s">
        <v>609</v>
      </c>
      <c r="AD209" t="s">
        <v>1256</v>
      </c>
      <c r="AE209" t="s">
        <v>1365</v>
      </c>
      <c r="AF209" t="s">
        <v>1376</v>
      </c>
      <c r="AG209" s="10">
        <v>4.7</v>
      </c>
      <c r="AH209" s="11" t="s">
        <v>966</v>
      </c>
      <c r="AI209" s="5">
        <v>2.2000000000000002</v>
      </c>
      <c r="AJ209" s="5">
        <f t="shared" si="7"/>
        <v>1.7600000000000002</v>
      </c>
      <c r="AK209" s="5" t="s">
        <v>443</v>
      </c>
      <c r="AL209" s="5">
        <v>8.6999999999999993</v>
      </c>
      <c r="AM209" s="5" t="s">
        <v>662</v>
      </c>
      <c r="AN209" s="12">
        <v>6.88</v>
      </c>
      <c r="AO209" s="2" t="s">
        <v>443</v>
      </c>
      <c r="AP209" s="5" t="s">
        <v>443</v>
      </c>
      <c r="AQ209" s="5" t="s">
        <v>443</v>
      </c>
      <c r="AR209" s="2" t="s">
        <v>1370</v>
      </c>
      <c r="AS209" t="s">
        <v>609</v>
      </c>
    </row>
    <row r="210" spans="1:45" x14ac:dyDescent="0.35">
      <c r="A210" t="s">
        <v>699</v>
      </c>
      <c r="B210" s="8" t="s">
        <v>992</v>
      </c>
      <c r="C210" t="s">
        <v>1035</v>
      </c>
      <c r="D210" s="2" t="s">
        <v>592</v>
      </c>
      <c r="E210" s="2" t="s">
        <v>1368</v>
      </c>
      <c r="F210" s="2" t="s">
        <v>716</v>
      </c>
      <c r="G210" s="3">
        <v>1159</v>
      </c>
      <c r="H210" s="3">
        <v>39</v>
      </c>
      <c r="I210" s="3">
        <v>13</v>
      </c>
      <c r="J210" s="3">
        <v>15</v>
      </c>
      <c r="K210" s="3">
        <v>616</v>
      </c>
      <c r="L210" s="3">
        <v>928</v>
      </c>
      <c r="M210" s="3">
        <v>1252</v>
      </c>
      <c r="N210" s="3">
        <v>55</v>
      </c>
      <c r="O210" s="5">
        <v>94.594670308594402</v>
      </c>
      <c r="P210" s="5">
        <v>1.8715871417812959</v>
      </c>
      <c r="Q210" s="5">
        <v>1.2172165210187738</v>
      </c>
      <c r="R210" s="5">
        <v>2.3165260286055291</v>
      </c>
      <c r="S210" s="5">
        <v>29.427381986111968</v>
      </c>
      <c r="T210" s="5">
        <v>32.72069680564627</v>
      </c>
      <c r="U210" s="5">
        <v>34.747157245718938</v>
      </c>
      <c r="V210" s="5">
        <v>3.1047639625228256</v>
      </c>
      <c r="W210" s="5">
        <v>37.851921208241762</v>
      </c>
      <c r="X210" s="3">
        <v>-5.1227986787240036</v>
      </c>
      <c r="Y210" t="s">
        <v>616</v>
      </c>
      <c r="Z210" s="4" t="s">
        <v>640</v>
      </c>
      <c r="AA210" t="s">
        <v>958</v>
      </c>
      <c r="AB210" t="s">
        <v>644</v>
      </c>
      <c r="AC210" t="s">
        <v>609</v>
      </c>
      <c r="AD210" t="s">
        <v>1257</v>
      </c>
      <c r="AE210" t="s">
        <v>1365</v>
      </c>
      <c r="AF210" t="s">
        <v>1376</v>
      </c>
      <c r="AG210" s="10">
        <v>0.15</v>
      </c>
      <c r="AH210" s="11" t="s">
        <v>966</v>
      </c>
      <c r="AI210" s="5">
        <v>18.7</v>
      </c>
      <c r="AJ210" s="5">
        <f t="shared" si="7"/>
        <v>14.96</v>
      </c>
      <c r="AK210" s="5" t="s">
        <v>443</v>
      </c>
      <c r="AL210" s="5">
        <v>9.6</v>
      </c>
      <c r="AM210" s="5" t="s">
        <v>663</v>
      </c>
      <c r="AN210" s="12">
        <v>8.11</v>
      </c>
      <c r="AO210" s="2" t="s">
        <v>443</v>
      </c>
      <c r="AP210" s="5" t="s">
        <v>443</v>
      </c>
      <c r="AQ210" s="5" t="s">
        <v>443</v>
      </c>
      <c r="AR210" s="2" t="s">
        <v>1370</v>
      </c>
      <c r="AS210" t="s">
        <v>609</v>
      </c>
    </row>
    <row r="211" spans="1:45" x14ac:dyDescent="0.35">
      <c r="A211" t="s">
        <v>700</v>
      </c>
      <c r="B211" s="8" t="s">
        <v>993</v>
      </c>
      <c r="C211" s="8" t="s">
        <v>972</v>
      </c>
      <c r="D211" s="2" t="s">
        <v>592</v>
      </c>
      <c r="E211" s="2" t="s">
        <v>1368</v>
      </c>
      <c r="F211" s="2" t="s">
        <v>718</v>
      </c>
      <c r="G211" s="3">
        <v>552</v>
      </c>
      <c r="H211" s="3">
        <v>5</v>
      </c>
      <c r="I211" s="3">
        <v>12</v>
      </c>
      <c r="J211" s="3">
        <v>8</v>
      </c>
      <c r="K211" s="3">
        <v>484</v>
      </c>
      <c r="L211" s="3">
        <v>285</v>
      </c>
      <c r="M211" s="3">
        <v>525</v>
      </c>
      <c r="N211" s="3">
        <v>0</v>
      </c>
      <c r="O211" s="5">
        <v>94.545833560782981</v>
      </c>
      <c r="P211" s="5">
        <v>0.50354180880555266</v>
      </c>
      <c r="Q211" s="5">
        <v>2.3579023621912705</v>
      </c>
      <c r="R211" s="5">
        <v>2.5927222682201951</v>
      </c>
      <c r="S211" s="5">
        <v>48.431220573922879</v>
      </c>
      <c r="T211" s="5">
        <v>21.048859324470346</v>
      </c>
      <c r="U211" s="5">
        <v>30.519920101606779</v>
      </c>
      <c r="V211" s="5">
        <v>0</v>
      </c>
      <c r="W211" s="5">
        <v>30.519920101606779</v>
      </c>
      <c r="X211" s="3">
        <v>-5.2159129418840813</v>
      </c>
      <c r="Y211" t="s">
        <v>616</v>
      </c>
      <c r="Z211" s="4" t="s">
        <v>640</v>
      </c>
      <c r="AA211" t="s">
        <v>959</v>
      </c>
      <c r="AB211" t="s">
        <v>645</v>
      </c>
      <c r="AC211" t="s">
        <v>609</v>
      </c>
      <c r="AD211" t="s">
        <v>1258</v>
      </c>
      <c r="AE211" t="s">
        <v>1365</v>
      </c>
      <c r="AF211" t="s">
        <v>1376</v>
      </c>
      <c r="AG211" s="10">
        <v>0.2</v>
      </c>
      <c r="AH211" s="11" t="s">
        <v>966</v>
      </c>
      <c r="AI211" s="5">
        <v>4.9000000000000004</v>
      </c>
      <c r="AJ211" s="5">
        <f t="shared" si="7"/>
        <v>3.9200000000000004</v>
      </c>
      <c r="AK211" s="5" t="s">
        <v>443</v>
      </c>
      <c r="AL211" s="5">
        <v>9</v>
      </c>
      <c r="AM211" s="5" t="s">
        <v>664</v>
      </c>
      <c r="AN211" s="12">
        <v>8.68</v>
      </c>
      <c r="AO211" s="2" t="s">
        <v>443</v>
      </c>
      <c r="AP211" s="5" t="s">
        <v>443</v>
      </c>
      <c r="AQ211" s="5" t="s">
        <v>443</v>
      </c>
      <c r="AR211" s="2" t="s">
        <v>1370</v>
      </c>
      <c r="AS211" t="s">
        <v>609</v>
      </c>
    </row>
    <row r="212" spans="1:45" x14ac:dyDescent="0.35">
      <c r="A212" t="s">
        <v>701</v>
      </c>
      <c r="B212" t="s">
        <v>1004</v>
      </c>
      <c r="C212" t="s">
        <v>972</v>
      </c>
      <c r="D212" s="2" t="s">
        <v>592</v>
      </c>
      <c r="E212" s="2" t="s">
        <v>1368</v>
      </c>
      <c r="F212" s="2" t="s">
        <v>716</v>
      </c>
      <c r="G212" s="3">
        <v>1145</v>
      </c>
      <c r="H212" s="3">
        <v>8</v>
      </c>
      <c r="I212" s="3">
        <v>7</v>
      </c>
      <c r="J212" s="3">
        <v>9</v>
      </c>
      <c r="K212" s="3">
        <v>592</v>
      </c>
      <c r="L212" s="3">
        <v>255</v>
      </c>
      <c r="M212" s="3">
        <v>1893</v>
      </c>
      <c r="N212" s="3">
        <v>47</v>
      </c>
      <c r="O212" s="5">
        <v>97.4</v>
      </c>
      <c r="P212" s="5">
        <v>0.4</v>
      </c>
      <c r="Q212" s="5">
        <v>0.7</v>
      </c>
      <c r="R212" s="5">
        <v>1.5</v>
      </c>
      <c r="S212" s="5">
        <v>30.6</v>
      </c>
      <c r="T212" s="5">
        <v>9.6999999999999993</v>
      </c>
      <c r="U212" s="5">
        <v>56.8</v>
      </c>
      <c r="V212" s="5">
        <v>2.9</v>
      </c>
      <c r="W212" s="5">
        <f t="shared" ref="W212:W223" si="8">SUM(U212:V212)</f>
        <v>59.699999999999996</v>
      </c>
      <c r="X212" s="3">
        <v>-3.31053300533297</v>
      </c>
      <c r="Y212" t="s">
        <v>1352</v>
      </c>
      <c r="Z212" s="4" t="s">
        <v>640</v>
      </c>
      <c r="AA212" t="s">
        <v>27</v>
      </c>
      <c r="AB212" t="s">
        <v>646</v>
      </c>
      <c r="AC212" t="s">
        <v>609</v>
      </c>
      <c r="AD212" t="s">
        <v>1259</v>
      </c>
      <c r="AE212" t="s">
        <v>1365</v>
      </c>
      <c r="AF212" t="s">
        <v>1376</v>
      </c>
      <c r="AG212" s="10">
        <v>0.42</v>
      </c>
      <c r="AH212" s="11" t="s">
        <v>966</v>
      </c>
      <c r="AI212" s="5">
        <v>4.3</v>
      </c>
      <c r="AJ212" s="5">
        <f t="shared" si="7"/>
        <v>3.44</v>
      </c>
      <c r="AK212" s="5" t="s">
        <v>443</v>
      </c>
      <c r="AL212" s="5">
        <v>9.5</v>
      </c>
      <c r="AM212" s="5" t="s">
        <v>662</v>
      </c>
      <c r="AN212" s="12">
        <v>9.2799999999999994</v>
      </c>
      <c r="AO212" s="2" t="s">
        <v>443</v>
      </c>
      <c r="AP212" s="5" t="s">
        <v>443</v>
      </c>
      <c r="AQ212" s="5" t="s">
        <v>443</v>
      </c>
      <c r="AR212" s="2" t="s">
        <v>1370</v>
      </c>
      <c r="AS212" t="s">
        <v>609</v>
      </c>
    </row>
    <row r="213" spans="1:45" x14ac:dyDescent="0.35">
      <c r="A213" t="s">
        <v>702</v>
      </c>
      <c r="B213" s="8" t="s">
        <v>977</v>
      </c>
      <c r="C213" s="8" t="s">
        <v>972</v>
      </c>
      <c r="D213" s="2" t="s">
        <v>592</v>
      </c>
      <c r="E213" s="2" t="s">
        <v>1368</v>
      </c>
      <c r="F213" s="2" t="s">
        <v>716</v>
      </c>
      <c r="G213" s="3">
        <v>1192</v>
      </c>
      <c r="H213" s="3">
        <v>12</v>
      </c>
      <c r="I213" s="3">
        <v>15</v>
      </c>
      <c r="J213" s="3">
        <v>16</v>
      </c>
      <c r="K213" s="3">
        <v>680</v>
      </c>
      <c r="L213" s="3">
        <v>183</v>
      </c>
      <c r="M213" s="3">
        <v>1290</v>
      </c>
      <c r="N213" s="3">
        <v>296</v>
      </c>
      <c r="O213" s="5">
        <v>95.6</v>
      </c>
      <c r="P213" s="5">
        <v>0.6</v>
      </c>
      <c r="Q213" s="5">
        <v>1.4</v>
      </c>
      <c r="R213" s="5">
        <v>2.4</v>
      </c>
      <c r="S213" s="5">
        <v>35.5</v>
      </c>
      <c r="T213" s="5">
        <v>7.1</v>
      </c>
      <c r="U213" s="5">
        <v>39.1</v>
      </c>
      <c r="V213" s="5">
        <v>18.3</v>
      </c>
      <c r="W213" s="5">
        <f t="shared" si="8"/>
        <v>57.400000000000006</v>
      </c>
      <c r="X213" s="2">
        <v>0</v>
      </c>
      <c r="Y213" t="s">
        <v>616</v>
      </c>
      <c r="Z213" s="4" t="s">
        <v>640</v>
      </c>
      <c r="AA213" t="s">
        <v>74</v>
      </c>
      <c r="AB213" s="14" t="s">
        <v>694</v>
      </c>
      <c r="AC213" t="s">
        <v>609</v>
      </c>
      <c r="AD213" t="s">
        <v>1260</v>
      </c>
      <c r="AE213" t="s">
        <v>1365</v>
      </c>
      <c r="AF213" t="s">
        <v>1376</v>
      </c>
      <c r="AG213" s="10">
        <v>0.17</v>
      </c>
      <c r="AH213" s="11" t="s">
        <v>966</v>
      </c>
      <c r="AI213" s="5">
        <v>2.6</v>
      </c>
      <c r="AJ213" s="5">
        <f t="shared" si="7"/>
        <v>2.08</v>
      </c>
      <c r="AK213" s="5" t="s">
        <v>443</v>
      </c>
      <c r="AL213" s="5">
        <v>9.3000000000000007</v>
      </c>
      <c r="AM213" s="5" t="s">
        <v>665</v>
      </c>
      <c r="AN213" s="12">
        <v>8.74</v>
      </c>
      <c r="AO213" s="2" t="s">
        <v>443</v>
      </c>
      <c r="AP213" s="5" t="s">
        <v>443</v>
      </c>
      <c r="AQ213" s="5" t="s">
        <v>443</v>
      </c>
      <c r="AR213" s="2" t="s">
        <v>1370</v>
      </c>
      <c r="AS213" t="s">
        <v>609</v>
      </c>
    </row>
    <row r="214" spans="1:45" x14ac:dyDescent="0.35">
      <c r="A214" t="s">
        <v>704</v>
      </c>
      <c r="B214" s="8" t="s">
        <v>974</v>
      </c>
      <c r="C214" s="8" t="s">
        <v>972</v>
      </c>
      <c r="D214" s="2" t="s">
        <v>592</v>
      </c>
      <c r="E214" s="2" t="s">
        <v>1368</v>
      </c>
      <c r="F214" s="2" t="s">
        <v>716</v>
      </c>
      <c r="G214" s="3">
        <v>1722</v>
      </c>
      <c r="H214" s="3">
        <v>13</v>
      </c>
      <c r="I214" s="3">
        <v>15</v>
      </c>
      <c r="J214" s="3">
        <v>15</v>
      </c>
      <c r="K214" s="3">
        <v>723</v>
      </c>
      <c r="L214" s="3">
        <v>256</v>
      </c>
      <c r="M214" s="3">
        <v>2295</v>
      </c>
      <c r="N214" s="3">
        <v>429</v>
      </c>
      <c r="O214" s="5">
        <v>97</v>
      </c>
      <c r="P214" s="5">
        <v>0.4</v>
      </c>
      <c r="Q214" s="5">
        <v>1</v>
      </c>
      <c r="R214" s="5">
        <v>1.6</v>
      </c>
      <c r="S214" s="5">
        <v>26.3</v>
      </c>
      <c r="T214" s="5">
        <v>6.9</v>
      </c>
      <c r="U214" s="5">
        <v>48.4</v>
      </c>
      <c r="V214" s="5">
        <v>18.399999999999999</v>
      </c>
      <c r="W214" s="5">
        <f t="shared" si="8"/>
        <v>66.8</v>
      </c>
      <c r="X214" s="2">
        <v>0</v>
      </c>
      <c r="Y214" t="s">
        <v>616</v>
      </c>
      <c r="Z214" s="4" t="s">
        <v>640</v>
      </c>
      <c r="AA214" t="s">
        <v>6</v>
      </c>
      <c r="AB214" t="s">
        <v>693</v>
      </c>
      <c r="AC214" t="s">
        <v>609</v>
      </c>
      <c r="AD214" t="s">
        <v>1261</v>
      </c>
      <c r="AE214" t="s">
        <v>1365</v>
      </c>
      <c r="AF214" t="s">
        <v>1376</v>
      </c>
      <c r="AG214" s="10">
        <v>0.38</v>
      </c>
      <c r="AH214" s="11" t="s">
        <v>966</v>
      </c>
      <c r="AI214" s="5">
        <v>3.7</v>
      </c>
      <c r="AJ214" s="5">
        <f t="shared" si="7"/>
        <v>2.9600000000000004</v>
      </c>
      <c r="AK214" s="5" t="s">
        <v>443</v>
      </c>
      <c r="AL214" s="5">
        <v>9.5</v>
      </c>
      <c r="AM214" s="5" t="s">
        <v>666</v>
      </c>
      <c r="AN214" s="12">
        <v>8.56</v>
      </c>
      <c r="AO214" s="2" t="s">
        <v>443</v>
      </c>
      <c r="AP214" s="5" t="s">
        <v>443</v>
      </c>
      <c r="AQ214" s="5" t="s">
        <v>443</v>
      </c>
      <c r="AR214" s="2" t="s">
        <v>1370</v>
      </c>
      <c r="AS214" t="s">
        <v>609</v>
      </c>
    </row>
    <row r="215" spans="1:45" x14ac:dyDescent="0.35">
      <c r="A215" t="s">
        <v>703</v>
      </c>
      <c r="B215" t="s">
        <v>975</v>
      </c>
      <c r="C215" t="s">
        <v>1056</v>
      </c>
      <c r="D215" s="2" t="s">
        <v>592</v>
      </c>
      <c r="E215" s="2" t="s">
        <v>1368</v>
      </c>
      <c r="F215" s="2" t="s">
        <v>716</v>
      </c>
      <c r="G215" s="3">
        <v>424</v>
      </c>
      <c r="H215" s="3">
        <v>35</v>
      </c>
      <c r="I215" s="3">
        <v>26</v>
      </c>
      <c r="J215" s="3">
        <v>158</v>
      </c>
      <c r="K215" s="3">
        <v>315</v>
      </c>
      <c r="L215" s="3">
        <v>500</v>
      </c>
      <c r="M215" s="3">
        <v>769</v>
      </c>
      <c r="N215" s="3">
        <v>58</v>
      </c>
      <c r="O215" s="5">
        <v>54.8</v>
      </c>
      <c r="P215" s="5">
        <v>2.6</v>
      </c>
      <c r="Q215" s="5">
        <v>3.9</v>
      </c>
      <c r="R215" s="5">
        <v>38.6</v>
      </c>
      <c r="S215" s="5">
        <v>26.3</v>
      </c>
      <c r="T215" s="5">
        <v>30.8</v>
      </c>
      <c r="U215" s="5">
        <v>37.200000000000003</v>
      </c>
      <c r="V215" s="5">
        <v>5.7</v>
      </c>
      <c r="W215" s="5">
        <f t="shared" si="8"/>
        <v>42.900000000000006</v>
      </c>
      <c r="X215" s="3">
        <v>-0.28487940274315748</v>
      </c>
      <c r="Y215" t="s">
        <v>609</v>
      </c>
      <c r="Z215" s="4" t="s">
        <v>641</v>
      </c>
      <c r="AA215" t="s">
        <v>55</v>
      </c>
      <c r="AB215" t="s">
        <v>647</v>
      </c>
      <c r="AC215" t="s">
        <v>609</v>
      </c>
      <c r="AD215" t="s">
        <v>1262</v>
      </c>
      <c r="AE215" t="s">
        <v>1365</v>
      </c>
      <c r="AF215" t="s">
        <v>1376</v>
      </c>
      <c r="AG215" s="10">
        <v>0.89</v>
      </c>
      <c r="AH215" s="11" t="s">
        <v>966</v>
      </c>
      <c r="AI215" s="5">
        <v>2</v>
      </c>
      <c r="AJ215" s="5">
        <f t="shared" si="7"/>
        <v>1.6</v>
      </c>
      <c r="AK215" s="5" t="s">
        <v>443</v>
      </c>
      <c r="AL215" s="5">
        <v>8.4</v>
      </c>
      <c r="AM215" s="5" t="s">
        <v>667</v>
      </c>
      <c r="AN215" s="12">
        <v>5.89</v>
      </c>
      <c r="AO215" s="2" t="s">
        <v>443</v>
      </c>
      <c r="AP215" s="5" t="s">
        <v>443</v>
      </c>
      <c r="AQ215" s="5" t="s">
        <v>443</v>
      </c>
      <c r="AR215" s="2" t="s">
        <v>1370</v>
      </c>
      <c r="AS215" t="s">
        <v>609</v>
      </c>
    </row>
    <row r="216" spans="1:45" x14ac:dyDescent="0.35">
      <c r="A216" t="s">
        <v>705</v>
      </c>
      <c r="B216" t="s">
        <v>975</v>
      </c>
      <c r="C216" t="s">
        <v>1055</v>
      </c>
      <c r="D216" s="2" t="s">
        <v>592</v>
      </c>
      <c r="E216" s="2" t="s">
        <v>1368</v>
      </c>
      <c r="F216" s="2" t="s">
        <v>716</v>
      </c>
      <c r="G216" s="3">
        <v>426</v>
      </c>
      <c r="H216" s="3">
        <v>34</v>
      </c>
      <c r="I216" s="3">
        <v>16</v>
      </c>
      <c r="J216" s="3">
        <v>156</v>
      </c>
      <c r="K216" s="3">
        <v>329</v>
      </c>
      <c r="L216" s="3">
        <v>524</v>
      </c>
      <c r="M216" s="3">
        <v>769</v>
      </c>
      <c r="N216" s="3">
        <v>29</v>
      </c>
      <c r="O216" s="5">
        <v>56</v>
      </c>
      <c r="P216" s="5">
        <v>2.6</v>
      </c>
      <c r="Q216" s="5">
        <v>2.4</v>
      </c>
      <c r="R216" s="5">
        <v>39</v>
      </c>
      <c r="S216" s="5">
        <v>27.5</v>
      </c>
      <c r="T216" s="5">
        <v>32.299999999999997</v>
      </c>
      <c r="U216" s="5">
        <v>37.299999999999997</v>
      </c>
      <c r="V216" s="5">
        <v>2.9</v>
      </c>
      <c r="W216" s="5">
        <f t="shared" si="8"/>
        <v>40.199999999999996</v>
      </c>
      <c r="X216" s="3">
        <v>-1.0814081387285841</v>
      </c>
      <c r="Y216" t="s">
        <v>609</v>
      </c>
      <c r="Z216" s="4" t="s">
        <v>641</v>
      </c>
      <c r="AA216" t="s">
        <v>55</v>
      </c>
      <c r="AB216" t="s">
        <v>648</v>
      </c>
      <c r="AC216" t="s">
        <v>609</v>
      </c>
      <c r="AD216" t="s">
        <v>1263</v>
      </c>
      <c r="AE216" t="s">
        <v>1365</v>
      </c>
      <c r="AF216" t="s">
        <v>1376</v>
      </c>
      <c r="AG216" s="10">
        <v>1.55</v>
      </c>
      <c r="AH216" s="11" t="s">
        <v>966</v>
      </c>
      <c r="AI216" s="5">
        <v>1.8</v>
      </c>
      <c r="AJ216" s="5">
        <f t="shared" si="7"/>
        <v>1.4400000000000002</v>
      </c>
      <c r="AK216" s="5" t="s">
        <v>443</v>
      </c>
      <c r="AL216" s="5">
        <v>9</v>
      </c>
      <c r="AM216" s="5" t="s">
        <v>668</v>
      </c>
      <c r="AN216" s="12">
        <v>8.1300000000000008</v>
      </c>
      <c r="AO216" s="2" t="s">
        <v>443</v>
      </c>
      <c r="AP216" s="5" t="s">
        <v>443</v>
      </c>
      <c r="AQ216" s="5" t="s">
        <v>443</v>
      </c>
      <c r="AR216" s="2" t="s">
        <v>1370</v>
      </c>
      <c r="AS216" t="s">
        <v>609</v>
      </c>
    </row>
    <row r="217" spans="1:45" x14ac:dyDescent="0.35">
      <c r="A217" t="s">
        <v>706</v>
      </c>
      <c r="B217" s="8" t="s">
        <v>994</v>
      </c>
      <c r="C217" s="8" t="s">
        <v>1069</v>
      </c>
      <c r="D217" s="2" t="s">
        <v>592</v>
      </c>
      <c r="E217" s="2" t="s">
        <v>1368</v>
      </c>
      <c r="F217" s="2" t="s">
        <v>716</v>
      </c>
      <c r="G217" s="3">
        <v>662</v>
      </c>
      <c r="H217" s="3">
        <v>82</v>
      </c>
      <c r="I217" s="3">
        <v>0</v>
      </c>
      <c r="J217" s="3">
        <v>416</v>
      </c>
      <c r="K217" s="3">
        <v>559</v>
      </c>
      <c r="L217" s="3">
        <v>1104</v>
      </c>
      <c r="M217" s="3">
        <v>1124</v>
      </c>
      <c r="N217" s="3">
        <v>182</v>
      </c>
      <c r="O217" s="5">
        <v>44.2</v>
      </c>
      <c r="P217" s="5">
        <v>3.2</v>
      </c>
      <c r="Q217" s="5">
        <v>0</v>
      </c>
      <c r="R217" s="5">
        <v>52.6</v>
      </c>
      <c r="S217" s="5">
        <v>24.9</v>
      </c>
      <c r="T217" s="5">
        <v>36.299999999999997</v>
      </c>
      <c r="U217" s="5">
        <v>29.1</v>
      </c>
      <c r="V217" s="5">
        <v>9.6</v>
      </c>
      <c r="W217" s="5">
        <f t="shared" si="8"/>
        <v>38.700000000000003</v>
      </c>
      <c r="X217" s="3">
        <v>1.4721407286427515</v>
      </c>
      <c r="Y217" t="s">
        <v>609</v>
      </c>
      <c r="Z217" s="4" t="s">
        <v>641</v>
      </c>
      <c r="AA217" t="s">
        <v>960</v>
      </c>
      <c r="AB217" t="s">
        <v>649</v>
      </c>
      <c r="AC217" t="s">
        <v>609</v>
      </c>
      <c r="AD217" t="s">
        <v>1264</v>
      </c>
      <c r="AE217" t="s">
        <v>1365</v>
      </c>
      <c r="AF217" t="s">
        <v>1376</v>
      </c>
      <c r="AG217" s="10">
        <v>2.23</v>
      </c>
      <c r="AH217" s="11" t="s">
        <v>966</v>
      </c>
      <c r="AI217" s="5">
        <v>3.2</v>
      </c>
      <c r="AJ217" s="5">
        <f t="shared" si="7"/>
        <v>2.5600000000000005</v>
      </c>
      <c r="AK217" s="5" t="s">
        <v>443</v>
      </c>
      <c r="AL217" s="5">
        <v>8.9</v>
      </c>
      <c r="AM217" s="5" t="s">
        <v>669</v>
      </c>
      <c r="AN217" s="12">
        <v>9.11</v>
      </c>
      <c r="AO217" s="2" t="s">
        <v>443</v>
      </c>
      <c r="AP217" s="5" t="s">
        <v>443</v>
      </c>
      <c r="AQ217" s="5" t="s">
        <v>443</v>
      </c>
      <c r="AR217" s="2" t="s">
        <v>1370</v>
      </c>
      <c r="AS217" t="s">
        <v>609</v>
      </c>
    </row>
    <row r="218" spans="1:45" x14ac:dyDescent="0.35">
      <c r="A218" t="s">
        <v>708</v>
      </c>
      <c r="B218" s="8" t="s">
        <v>1006</v>
      </c>
      <c r="C218" t="s">
        <v>1035</v>
      </c>
      <c r="D218" s="2" t="s">
        <v>592</v>
      </c>
      <c r="E218" s="2" t="s">
        <v>1368</v>
      </c>
      <c r="F218" s="2" t="s">
        <v>716</v>
      </c>
      <c r="G218" s="3">
        <v>775</v>
      </c>
      <c r="H218" s="3">
        <v>78</v>
      </c>
      <c r="I218" s="3">
        <v>0</v>
      </c>
      <c r="J218" s="3">
        <v>355</v>
      </c>
      <c r="K218" s="3">
        <v>641</v>
      </c>
      <c r="L218" s="3">
        <v>754</v>
      </c>
      <c r="M218" s="3">
        <v>1376</v>
      </c>
      <c r="N218" s="3">
        <v>218</v>
      </c>
      <c r="O218" s="5">
        <v>51.9</v>
      </c>
      <c r="P218" s="5">
        <v>3.1</v>
      </c>
      <c r="Q218" s="5">
        <v>0</v>
      </c>
      <c r="R218" s="5">
        <v>45</v>
      </c>
      <c r="S218" s="5">
        <v>28.4</v>
      </c>
      <c r="T218" s="5">
        <v>24.7</v>
      </c>
      <c r="U218" s="5">
        <v>35.4</v>
      </c>
      <c r="V218" s="5">
        <v>11.4</v>
      </c>
      <c r="W218" s="5">
        <f t="shared" si="8"/>
        <v>46.8</v>
      </c>
      <c r="X218" s="3">
        <v>1.0319953863179137</v>
      </c>
      <c r="Y218" t="s">
        <v>609</v>
      </c>
      <c r="Z218" s="4" t="s">
        <v>641</v>
      </c>
      <c r="AA218" t="s">
        <v>837</v>
      </c>
      <c r="AB218" t="s">
        <v>650</v>
      </c>
      <c r="AC218" t="s">
        <v>609</v>
      </c>
      <c r="AD218" t="s">
        <v>1265</v>
      </c>
      <c r="AE218" t="s">
        <v>1365</v>
      </c>
      <c r="AF218" t="s">
        <v>1376</v>
      </c>
      <c r="AG218" s="10">
        <v>0.71</v>
      </c>
      <c r="AH218" s="11" t="s">
        <v>966</v>
      </c>
      <c r="AI218" s="5">
        <v>3</v>
      </c>
      <c r="AJ218" s="5">
        <f t="shared" si="7"/>
        <v>2.4000000000000004</v>
      </c>
      <c r="AK218" s="5" t="s">
        <v>443</v>
      </c>
      <c r="AL218" s="5">
        <v>9</v>
      </c>
      <c r="AM218" s="5" t="s">
        <v>670</v>
      </c>
      <c r="AN218" s="12">
        <v>13.88</v>
      </c>
      <c r="AO218" s="2" t="s">
        <v>443</v>
      </c>
      <c r="AP218" s="5" t="s">
        <v>443</v>
      </c>
      <c r="AQ218" s="5" t="s">
        <v>443</v>
      </c>
      <c r="AR218" s="2" t="s">
        <v>1370</v>
      </c>
      <c r="AS218" t="s">
        <v>609</v>
      </c>
    </row>
    <row r="219" spans="1:45" x14ac:dyDescent="0.35">
      <c r="A219" t="s">
        <v>707</v>
      </c>
      <c r="B219" s="8" t="s">
        <v>994</v>
      </c>
      <c r="C219" s="8" t="s">
        <v>1070</v>
      </c>
      <c r="D219" s="2" t="s">
        <v>592</v>
      </c>
      <c r="E219" s="2" t="s">
        <v>1368</v>
      </c>
      <c r="F219" s="2" t="s">
        <v>716</v>
      </c>
      <c r="G219" s="3">
        <v>688</v>
      </c>
      <c r="H219" s="3">
        <v>85</v>
      </c>
      <c r="I219" s="3">
        <v>0</v>
      </c>
      <c r="J219" s="3">
        <v>427</v>
      </c>
      <c r="K219" s="3">
        <v>580</v>
      </c>
      <c r="L219" s="3">
        <v>1144</v>
      </c>
      <c r="M219" s="3">
        <v>1095</v>
      </c>
      <c r="N219" s="3">
        <v>189</v>
      </c>
      <c r="O219" s="5">
        <v>44.5</v>
      </c>
      <c r="P219" s="5">
        <v>3.2</v>
      </c>
      <c r="Q219" s="5">
        <v>0</v>
      </c>
      <c r="R219" s="5">
        <v>52.3</v>
      </c>
      <c r="S219" s="5">
        <v>25.4</v>
      </c>
      <c r="T219" s="5">
        <v>37</v>
      </c>
      <c r="U219" s="5">
        <v>27.8</v>
      </c>
      <c r="V219" s="5">
        <v>9.8000000000000007</v>
      </c>
      <c r="W219" s="5">
        <f t="shared" si="8"/>
        <v>37.6</v>
      </c>
      <c r="X219" s="3">
        <v>2.141398208161732</v>
      </c>
      <c r="Y219" t="s">
        <v>609</v>
      </c>
      <c r="Z219" s="4" t="s">
        <v>641</v>
      </c>
      <c r="AA219" t="s">
        <v>961</v>
      </c>
      <c r="AB219" t="s">
        <v>651</v>
      </c>
      <c r="AC219" t="s">
        <v>609</v>
      </c>
      <c r="AD219" t="s">
        <v>1266</v>
      </c>
      <c r="AE219" t="s">
        <v>1365</v>
      </c>
      <c r="AF219" t="s">
        <v>1376</v>
      </c>
      <c r="AG219" s="10">
        <v>1.72</v>
      </c>
      <c r="AH219" s="11" t="s">
        <v>966</v>
      </c>
      <c r="AI219" s="5">
        <v>2.5</v>
      </c>
      <c r="AJ219" s="5">
        <f t="shared" si="7"/>
        <v>2</v>
      </c>
      <c r="AK219" s="5" t="s">
        <v>443</v>
      </c>
      <c r="AL219" s="5">
        <v>8.1</v>
      </c>
      <c r="AM219" s="5" t="s">
        <v>668</v>
      </c>
      <c r="AN219" s="12">
        <v>3.34</v>
      </c>
      <c r="AO219" s="2" t="s">
        <v>443</v>
      </c>
      <c r="AP219" s="5" t="s">
        <v>443</v>
      </c>
      <c r="AQ219" s="5" t="s">
        <v>443</v>
      </c>
      <c r="AR219" s="2" t="s">
        <v>1370</v>
      </c>
      <c r="AS219" t="s">
        <v>609</v>
      </c>
    </row>
    <row r="220" spans="1:45" x14ac:dyDescent="0.35">
      <c r="A220" t="s">
        <v>710</v>
      </c>
      <c r="B220" s="8" t="s">
        <v>193</v>
      </c>
      <c r="C220" t="s">
        <v>972</v>
      </c>
      <c r="D220" s="2" t="s">
        <v>592</v>
      </c>
      <c r="E220" s="2" t="s">
        <v>1368</v>
      </c>
      <c r="F220" s="2" t="s">
        <v>716</v>
      </c>
      <c r="G220" s="3">
        <v>1257</v>
      </c>
      <c r="H220" s="3">
        <v>69</v>
      </c>
      <c r="I220" s="3">
        <v>15</v>
      </c>
      <c r="J220" s="3">
        <v>89</v>
      </c>
      <c r="K220" s="3">
        <v>551</v>
      </c>
      <c r="L220" s="3">
        <v>1036</v>
      </c>
      <c r="M220" s="3">
        <v>1755</v>
      </c>
      <c r="N220" s="3">
        <v>128</v>
      </c>
      <c r="O220" s="5">
        <v>84.8</v>
      </c>
      <c r="P220" s="5">
        <v>2.7</v>
      </c>
      <c r="Q220" s="5">
        <v>1.2</v>
      </c>
      <c r="R220" s="5">
        <v>11.4</v>
      </c>
      <c r="S220" s="5">
        <v>22.2</v>
      </c>
      <c r="T220" s="5">
        <v>30.8</v>
      </c>
      <c r="U220" s="5">
        <v>41</v>
      </c>
      <c r="V220" s="5">
        <v>6.1</v>
      </c>
      <c r="W220" s="5">
        <f t="shared" si="8"/>
        <v>47.1</v>
      </c>
      <c r="X220" s="3">
        <v>-4.1783426398979353</v>
      </c>
      <c r="Y220" t="s">
        <v>616</v>
      </c>
      <c r="Z220" s="4" t="s">
        <v>642</v>
      </c>
      <c r="AA220" t="s">
        <v>962</v>
      </c>
      <c r="AB220" t="s">
        <v>652</v>
      </c>
      <c r="AC220" t="s">
        <v>609</v>
      </c>
      <c r="AD220" t="s">
        <v>1267</v>
      </c>
      <c r="AE220" t="s">
        <v>1365</v>
      </c>
      <c r="AF220" t="s">
        <v>1376</v>
      </c>
      <c r="AG220" s="10">
        <v>0.1</v>
      </c>
      <c r="AH220" s="11" t="s">
        <v>966</v>
      </c>
      <c r="AI220" s="5">
        <v>4.5999999999999996</v>
      </c>
      <c r="AJ220" s="5">
        <f t="shared" si="7"/>
        <v>3.6799999999999997</v>
      </c>
      <c r="AK220" s="5" t="s">
        <v>443</v>
      </c>
      <c r="AL220" s="5">
        <v>9.6999999999999993</v>
      </c>
      <c r="AM220" s="5" t="s">
        <v>671</v>
      </c>
      <c r="AN220" s="12">
        <v>14.1</v>
      </c>
      <c r="AO220" s="2" t="s">
        <v>443</v>
      </c>
      <c r="AP220" s="5" t="s">
        <v>443</v>
      </c>
      <c r="AQ220" s="5" t="s">
        <v>443</v>
      </c>
      <c r="AR220" s="2" t="s">
        <v>1370</v>
      </c>
      <c r="AS220" t="s">
        <v>609</v>
      </c>
    </row>
    <row r="221" spans="1:45" x14ac:dyDescent="0.35">
      <c r="A221" t="s">
        <v>1085</v>
      </c>
      <c r="B221" s="8" t="s">
        <v>226</v>
      </c>
      <c r="C221" t="s">
        <v>972</v>
      </c>
      <c r="D221" s="2" t="s">
        <v>592</v>
      </c>
      <c r="E221" s="2" t="s">
        <v>1368</v>
      </c>
      <c r="F221" s="2" t="s">
        <v>716</v>
      </c>
      <c r="G221" s="3">
        <v>2090</v>
      </c>
      <c r="H221" s="3">
        <v>77</v>
      </c>
      <c r="I221" s="3">
        <v>3</v>
      </c>
      <c r="J221" s="3">
        <v>53</v>
      </c>
      <c r="K221" s="3">
        <v>642</v>
      </c>
      <c r="L221" s="3">
        <v>397</v>
      </c>
      <c r="M221" s="3">
        <v>4856</v>
      </c>
      <c r="N221" s="3">
        <v>308</v>
      </c>
      <c r="O221" s="5">
        <v>93.3</v>
      </c>
      <c r="P221" s="5">
        <v>2</v>
      </c>
      <c r="Q221" s="5">
        <v>0.2</v>
      </c>
      <c r="R221" s="5">
        <v>4.5</v>
      </c>
      <c r="S221" s="5">
        <v>15.6</v>
      </c>
      <c r="T221" s="5">
        <v>7.1</v>
      </c>
      <c r="U221" s="5">
        <v>68.5</v>
      </c>
      <c r="V221" s="5">
        <v>8.8000000000000007</v>
      </c>
      <c r="W221" s="5">
        <f t="shared" si="8"/>
        <v>77.3</v>
      </c>
      <c r="X221" s="3">
        <v>-8.8162086583849941</v>
      </c>
      <c r="Y221" t="s">
        <v>616</v>
      </c>
      <c r="Z221" s="4" t="s">
        <v>642</v>
      </c>
      <c r="AA221" t="s">
        <v>962</v>
      </c>
      <c r="AB221" t="s">
        <v>653</v>
      </c>
      <c r="AC221" t="s">
        <v>609</v>
      </c>
      <c r="AD221" t="s">
        <v>1268</v>
      </c>
      <c r="AE221" t="s">
        <v>1365</v>
      </c>
      <c r="AF221" t="s">
        <v>1376</v>
      </c>
      <c r="AG221" s="10">
        <v>0.08</v>
      </c>
      <c r="AH221" s="11" t="s">
        <v>966</v>
      </c>
      <c r="AI221" s="5">
        <v>9.4</v>
      </c>
      <c r="AJ221" s="5">
        <f t="shared" si="7"/>
        <v>7.5200000000000005</v>
      </c>
      <c r="AK221" s="5" t="s">
        <v>443</v>
      </c>
      <c r="AL221" s="5">
        <v>9.5</v>
      </c>
      <c r="AM221" s="5" t="s">
        <v>672</v>
      </c>
      <c r="AN221" s="12">
        <v>10.51</v>
      </c>
      <c r="AO221" s="2" t="s">
        <v>443</v>
      </c>
      <c r="AP221" s="5" t="s">
        <v>443</v>
      </c>
      <c r="AQ221" s="5" t="s">
        <v>443</v>
      </c>
      <c r="AR221" s="2" t="s">
        <v>1370</v>
      </c>
      <c r="AS221" t="s">
        <v>609</v>
      </c>
    </row>
    <row r="222" spans="1:45" x14ac:dyDescent="0.35">
      <c r="A222" t="s">
        <v>709</v>
      </c>
      <c r="B222" t="s">
        <v>817</v>
      </c>
      <c r="C222" t="s">
        <v>972</v>
      </c>
      <c r="D222" s="2" t="s">
        <v>592</v>
      </c>
      <c r="E222" s="2" t="s">
        <v>1368</v>
      </c>
      <c r="F222" s="2" t="s">
        <v>716</v>
      </c>
      <c r="G222" s="3">
        <v>2068</v>
      </c>
      <c r="H222" s="3">
        <v>121</v>
      </c>
      <c r="I222" s="3">
        <v>8</v>
      </c>
      <c r="J222" s="3">
        <v>101</v>
      </c>
      <c r="K222" s="3">
        <v>1148</v>
      </c>
      <c r="L222" s="3">
        <v>500</v>
      </c>
      <c r="M222" s="3">
        <v>3552</v>
      </c>
      <c r="N222" s="3">
        <v>212</v>
      </c>
      <c r="O222" s="5">
        <v>88.4</v>
      </c>
      <c r="P222" s="5">
        <v>3</v>
      </c>
      <c r="Q222" s="5">
        <v>0.4</v>
      </c>
      <c r="R222" s="5">
        <v>8.1999999999999993</v>
      </c>
      <c r="S222" s="5">
        <v>30</v>
      </c>
      <c r="T222" s="5">
        <v>9.6</v>
      </c>
      <c r="U222" s="5">
        <v>53.9</v>
      </c>
      <c r="V222" s="5">
        <v>6.5</v>
      </c>
      <c r="W222" s="5">
        <f t="shared" si="8"/>
        <v>60.4</v>
      </c>
      <c r="X222" s="2">
        <v>-3</v>
      </c>
      <c r="Y222" t="s">
        <v>616</v>
      </c>
      <c r="Z222" s="4" t="s">
        <v>642</v>
      </c>
      <c r="AA222" t="s">
        <v>962</v>
      </c>
      <c r="AB222" t="s">
        <v>654</v>
      </c>
      <c r="AC222" t="s">
        <v>609</v>
      </c>
      <c r="AD222" t="s">
        <v>1269</v>
      </c>
      <c r="AE222" t="s">
        <v>1365</v>
      </c>
      <c r="AF222" t="s">
        <v>1376</v>
      </c>
      <c r="AG222" s="10">
        <v>0.2</v>
      </c>
      <c r="AH222" s="11" t="s">
        <v>966</v>
      </c>
      <c r="AI222" s="5">
        <v>9.1</v>
      </c>
      <c r="AJ222" s="5">
        <f t="shared" si="7"/>
        <v>7.28</v>
      </c>
      <c r="AK222" s="5" t="s">
        <v>443</v>
      </c>
      <c r="AL222" s="5">
        <v>9.6</v>
      </c>
      <c r="AM222" s="5" t="s">
        <v>673</v>
      </c>
      <c r="AN222" s="12">
        <v>14.83</v>
      </c>
      <c r="AO222" s="2" t="s">
        <v>443</v>
      </c>
      <c r="AP222" s="5" t="s">
        <v>443</v>
      </c>
      <c r="AQ222" s="5" t="s">
        <v>443</v>
      </c>
      <c r="AR222" s="2" t="s">
        <v>1370</v>
      </c>
      <c r="AS222" t="s">
        <v>609</v>
      </c>
    </row>
    <row r="223" spans="1:45" x14ac:dyDescent="0.35">
      <c r="A223" t="s">
        <v>711</v>
      </c>
      <c r="B223" t="s">
        <v>271</v>
      </c>
      <c r="C223" t="s">
        <v>972</v>
      </c>
      <c r="D223" s="2" t="s">
        <v>592</v>
      </c>
      <c r="E223" s="2" t="s">
        <v>1368</v>
      </c>
      <c r="F223" s="2" t="s">
        <v>716</v>
      </c>
      <c r="G223" s="3">
        <v>423</v>
      </c>
      <c r="H223" s="3">
        <v>21</v>
      </c>
      <c r="I223" s="3">
        <v>22</v>
      </c>
      <c r="J223" s="3">
        <v>71</v>
      </c>
      <c r="K223" s="3">
        <v>105</v>
      </c>
      <c r="L223" s="3">
        <v>305</v>
      </c>
      <c r="M223" s="3">
        <v>741</v>
      </c>
      <c r="N223" s="3">
        <v>75</v>
      </c>
      <c r="O223" s="5">
        <v>71.099999999999994</v>
      </c>
      <c r="P223" s="5">
        <v>2.1</v>
      </c>
      <c r="Q223" s="5">
        <v>4.2</v>
      </c>
      <c r="R223" s="5">
        <v>22.6</v>
      </c>
      <c r="S223" s="5">
        <v>12.4</v>
      </c>
      <c r="T223" s="5">
        <v>26.5</v>
      </c>
      <c r="U223" s="5">
        <v>50.7</v>
      </c>
      <c r="V223" s="5">
        <v>10.4</v>
      </c>
      <c r="W223" s="5">
        <f t="shared" si="8"/>
        <v>61.1</v>
      </c>
      <c r="X223" s="3">
        <v>3.8571225281985284</v>
      </c>
      <c r="Y223" t="s">
        <v>616</v>
      </c>
      <c r="Z223" s="4" t="s">
        <v>642</v>
      </c>
      <c r="AA223" t="s">
        <v>963</v>
      </c>
      <c r="AB223" s="8" t="s">
        <v>655</v>
      </c>
      <c r="AC223" t="s">
        <v>609</v>
      </c>
      <c r="AD223" t="s">
        <v>1270</v>
      </c>
      <c r="AE223" t="s">
        <v>1365</v>
      </c>
      <c r="AF223" t="s">
        <v>1376</v>
      </c>
      <c r="AG223" s="10">
        <v>0.11</v>
      </c>
      <c r="AH223" s="11" t="s">
        <v>966</v>
      </c>
      <c r="AI223" s="5">
        <v>4.2</v>
      </c>
      <c r="AJ223" s="5">
        <f t="shared" si="7"/>
        <v>3.3600000000000003</v>
      </c>
      <c r="AK223" s="5" t="s">
        <v>443</v>
      </c>
      <c r="AL223" s="5">
        <v>9.3000000000000007</v>
      </c>
      <c r="AM223" s="5" t="s">
        <v>674</v>
      </c>
      <c r="AN223" s="12">
        <v>8.74</v>
      </c>
      <c r="AO223" s="2" t="s">
        <v>443</v>
      </c>
      <c r="AP223" s="5" t="s">
        <v>443</v>
      </c>
      <c r="AQ223" s="5" t="s">
        <v>443</v>
      </c>
      <c r="AR223" s="2" t="s">
        <v>1370</v>
      </c>
      <c r="AS223" t="s">
        <v>609</v>
      </c>
    </row>
    <row r="224" spans="1:45" x14ac:dyDescent="0.35">
      <c r="A224" t="s">
        <v>712</v>
      </c>
      <c r="B224" t="s">
        <v>127</v>
      </c>
      <c r="C224" t="s">
        <v>1060</v>
      </c>
      <c r="D224" s="2" t="s">
        <v>592</v>
      </c>
      <c r="E224" s="2" t="s">
        <v>1368</v>
      </c>
      <c r="F224" s="2" t="s">
        <v>619</v>
      </c>
      <c r="G224" s="3">
        <v>34</v>
      </c>
      <c r="H224" s="3">
        <v>8</v>
      </c>
      <c r="I224" s="3">
        <v>37</v>
      </c>
      <c r="J224" s="3">
        <v>54</v>
      </c>
      <c r="K224" s="3">
        <v>33</v>
      </c>
      <c r="L224" s="3">
        <v>137</v>
      </c>
      <c r="M224" s="3">
        <v>228</v>
      </c>
      <c r="N224" s="3">
        <v>19</v>
      </c>
      <c r="O224" s="5">
        <v>18.545971720309531</v>
      </c>
      <c r="P224" s="5">
        <v>2.5658004504282599</v>
      </c>
      <c r="Q224" s="5">
        <v>23.153340267181662</v>
      </c>
      <c r="R224" s="5">
        <v>55.734887562080537</v>
      </c>
      <c r="S224" s="5">
        <v>11.417622875592517</v>
      </c>
      <c r="T224" s="5">
        <v>34.985329963435987</v>
      </c>
      <c r="U224" s="5">
        <v>45.829027072228726</v>
      </c>
      <c r="V224" s="5">
        <v>7.7680200887427677</v>
      </c>
      <c r="W224" s="5">
        <v>53.597047160971492</v>
      </c>
      <c r="X224" s="3">
        <v>-1</v>
      </c>
      <c r="Y224" t="s">
        <v>680</v>
      </c>
      <c r="Z224" s="4" t="s">
        <v>642</v>
      </c>
      <c r="AA224" t="s">
        <v>964</v>
      </c>
      <c r="AB224" s="8" t="s">
        <v>656</v>
      </c>
      <c r="AC224" t="s">
        <v>609</v>
      </c>
      <c r="AD224" t="s">
        <v>1252</v>
      </c>
      <c r="AE224" t="s">
        <v>1365</v>
      </c>
      <c r="AF224" t="s">
        <v>1376</v>
      </c>
      <c r="AG224" s="10">
        <v>4.2</v>
      </c>
      <c r="AH224" s="11" t="s">
        <v>966</v>
      </c>
      <c r="AI224" s="5">
        <v>0.8</v>
      </c>
      <c r="AJ224" s="5">
        <f t="shared" si="7"/>
        <v>0.64000000000000012</v>
      </c>
      <c r="AK224" s="5" t="s">
        <v>443</v>
      </c>
      <c r="AL224" s="5">
        <v>8.6999999999999993</v>
      </c>
      <c r="AM224" s="5" t="s">
        <v>675</v>
      </c>
      <c r="AN224" s="12">
        <v>7.94</v>
      </c>
      <c r="AO224" s="2" t="s">
        <v>443</v>
      </c>
      <c r="AP224" s="5" t="s">
        <v>443</v>
      </c>
      <c r="AQ224" s="5" t="s">
        <v>443</v>
      </c>
      <c r="AR224" s="2" t="s">
        <v>1370</v>
      </c>
      <c r="AS224" t="s">
        <v>609</v>
      </c>
    </row>
    <row r="225" spans="1:46" x14ac:dyDescent="0.35">
      <c r="A225" t="s">
        <v>714</v>
      </c>
      <c r="B225" t="s">
        <v>127</v>
      </c>
      <c r="C225" t="s">
        <v>1061</v>
      </c>
      <c r="D225" s="2" t="s">
        <v>592</v>
      </c>
      <c r="E225" s="2" t="s">
        <v>1368</v>
      </c>
      <c r="F225" s="2" t="s">
        <v>619</v>
      </c>
      <c r="G225" s="3">
        <v>31</v>
      </c>
      <c r="H225" s="3">
        <v>7</v>
      </c>
      <c r="I225" s="3">
        <v>47</v>
      </c>
      <c r="J225" s="3">
        <v>47</v>
      </c>
      <c r="K225" s="3">
        <v>30</v>
      </c>
      <c r="L225" s="3">
        <v>115</v>
      </c>
      <c r="M225" s="3">
        <v>251</v>
      </c>
      <c r="N225" s="3">
        <v>15</v>
      </c>
      <c r="O225" s="5">
        <v>17.418956783878837</v>
      </c>
      <c r="P225" s="5">
        <v>2.3127074624450303</v>
      </c>
      <c r="Q225" s="5">
        <v>30.296995321751012</v>
      </c>
      <c r="R225" s="5">
        <v>49.971340431925121</v>
      </c>
      <c r="S225" s="5">
        <v>10.774915199371057</v>
      </c>
      <c r="T225" s="5">
        <v>30.485554541630894</v>
      </c>
      <c r="U225" s="5">
        <v>52.373351195369658</v>
      </c>
      <c r="V225" s="5">
        <v>6.3661790636283992</v>
      </c>
      <c r="W225" s="5">
        <v>58.739530258998059</v>
      </c>
      <c r="X225" s="3">
        <v>-1</v>
      </c>
      <c r="Y225" t="s">
        <v>680</v>
      </c>
      <c r="Z225" s="4" t="s">
        <v>642</v>
      </c>
      <c r="AA225" t="s">
        <v>965</v>
      </c>
      <c r="AB225" s="8" t="s">
        <v>657</v>
      </c>
      <c r="AC225" t="s">
        <v>609</v>
      </c>
      <c r="AD225" t="s">
        <v>1253</v>
      </c>
      <c r="AE225" t="s">
        <v>1365</v>
      </c>
      <c r="AF225" t="s">
        <v>1376</v>
      </c>
      <c r="AG225" s="10">
        <v>3.2</v>
      </c>
      <c r="AH225" s="11" t="s">
        <v>966</v>
      </c>
      <c r="AI225" s="5">
        <v>0.7</v>
      </c>
      <c r="AJ225" s="5">
        <f t="shared" si="7"/>
        <v>0.55999999999999994</v>
      </c>
      <c r="AK225" s="5" t="s">
        <v>443</v>
      </c>
      <c r="AL225" s="5">
        <v>8.6</v>
      </c>
      <c r="AM225" s="5" t="s">
        <v>676</v>
      </c>
      <c r="AN225" s="12">
        <v>7.92</v>
      </c>
      <c r="AO225" s="2" t="s">
        <v>443</v>
      </c>
      <c r="AP225" s="5" t="s">
        <v>443</v>
      </c>
      <c r="AQ225" s="5" t="s">
        <v>443</v>
      </c>
      <c r="AR225" s="2" t="s">
        <v>1370</v>
      </c>
      <c r="AS225" t="s">
        <v>609</v>
      </c>
    </row>
    <row r="226" spans="1:46" x14ac:dyDescent="0.35">
      <c r="A226" t="s">
        <v>713</v>
      </c>
      <c r="B226" t="s">
        <v>188</v>
      </c>
      <c r="C226" t="s">
        <v>972</v>
      </c>
      <c r="D226" s="2" t="s">
        <v>592</v>
      </c>
      <c r="E226" s="2" t="s">
        <v>1368</v>
      </c>
      <c r="F226" s="2" t="s">
        <v>716</v>
      </c>
      <c r="G226" s="3">
        <v>584</v>
      </c>
      <c r="H226" s="3">
        <v>18</v>
      </c>
      <c r="I226" s="3">
        <v>14</v>
      </c>
      <c r="J226" s="3">
        <v>77</v>
      </c>
      <c r="K226" s="3">
        <v>149</v>
      </c>
      <c r="L226" s="3">
        <v>87</v>
      </c>
      <c r="M226" s="3">
        <v>1438</v>
      </c>
      <c r="N226" s="3">
        <v>87</v>
      </c>
      <c r="O226" s="5">
        <v>77.2</v>
      </c>
      <c r="P226" s="5">
        <v>1.4</v>
      </c>
      <c r="Q226" s="5">
        <v>2.1</v>
      </c>
      <c r="R226" s="5">
        <v>19.3</v>
      </c>
      <c r="S226" s="5">
        <v>12.9</v>
      </c>
      <c r="T226" s="5">
        <v>5.6</v>
      </c>
      <c r="U226" s="5">
        <v>72.599999999999994</v>
      </c>
      <c r="V226" s="5">
        <v>8.9</v>
      </c>
      <c r="W226" s="5">
        <f>SUM(U226:V226)</f>
        <v>81.5</v>
      </c>
      <c r="X226" s="3">
        <v>0.63971876903708236</v>
      </c>
      <c r="Y226" s="4" t="s">
        <v>616</v>
      </c>
      <c r="Z226" s="4" t="s">
        <v>642</v>
      </c>
      <c r="AA226" s="4" t="s">
        <v>962</v>
      </c>
      <c r="AB226" s="8" t="s">
        <v>658</v>
      </c>
      <c r="AC226" t="s">
        <v>609</v>
      </c>
      <c r="AD226" t="s">
        <v>1271</v>
      </c>
      <c r="AE226" t="s">
        <v>1365</v>
      </c>
      <c r="AF226" t="s">
        <v>1376</v>
      </c>
      <c r="AG226" s="10">
        <v>0.24</v>
      </c>
      <c r="AH226" s="11" t="s">
        <v>966</v>
      </c>
      <c r="AI226" s="5">
        <v>4.8</v>
      </c>
      <c r="AJ226" s="5">
        <f t="shared" si="7"/>
        <v>3.84</v>
      </c>
      <c r="AK226" s="5" t="s">
        <v>443</v>
      </c>
      <c r="AL226" s="5">
        <v>10</v>
      </c>
      <c r="AM226" s="5" t="s">
        <v>677</v>
      </c>
      <c r="AN226" s="5">
        <v>10.33</v>
      </c>
      <c r="AO226" s="5" t="s">
        <v>443</v>
      </c>
      <c r="AP226" s="5" t="s">
        <v>443</v>
      </c>
      <c r="AQ226" s="5" t="s">
        <v>443</v>
      </c>
      <c r="AR226" s="2" t="s">
        <v>1370</v>
      </c>
      <c r="AS226" s="5" t="s">
        <v>609</v>
      </c>
    </row>
    <row r="227" spans="1:46" x14ac:dyDescent="0.35">
      <c r="A227" t="s">
        <v>521</v>
      </c>
      <c r="B227" t="s">
        <v>523</v>
      </c>
      <c r="C227" t="s">
        <v>1047</v>
      </c>
      <c r="D227" s="2" t="s">
        <v>594</v>
      </c>
      <c r="E227" s="2" t="s">
        <v>522</v>
      </c>
      <c r="F227" s="2" t="s">
        <v>718</v>
      </c>
      <c r="G227" s="3">
        <v>695</v>
      </c>
      <c r="H227" s="3">
        <v>23.6</v>
      </c>
      <c r="I227" s="3">
        <v>242</v>
      </c>
      <c r="J227" s="3">
        <v>58.8</v>
      </c>
      <c r="K227" s="3">
        <v>489</v>
      </c>
      <c r="L227" s="3">
        <v>299</v>
      </c>
      <c r="M227" s="3">
        <v>720</v>
      </c>
      <c r="N227" s="3">
        <v>30</v>
      </c>
      <c r="O227" s="5">
        <v>63.3</v>
      </c>
      <c r="P227" s="5">
        <v>1.3</v>
      </c>
      <c r="Q227" s="5">
        <v>25.3</v>
      </c>
      <c r="R227" s="5">
        <v>10.1</v>
      </c>
      <c r="S227" s="5">
        <v>42</v>
      </c>
      <c r="T227" s="5">
        <v>19</v>
      </c>
      <c r="U227" s="5">
        <v>36</v>
      </c>
      <c r="V227" s="5">
        <v>3</v>
      </c>
      <c r="W227" s="5">
        <f>SUM(U227:V227)</f>
        <v>39</v>
      </c>
      <c r="X227" s="3">
        <v>18.531755754767257</v>
      </c>
      <c r="Y227" t="s">
        <v>609</v>
      </c>
      <c r="Z227" s="4">
        <v>43293</v>
      </c>
      <c r="AA227" t="s">
        <v>524</v>
      </c>
      <c r="AB227" t="s">
        <v>525</v>
      </c>
      <c r="AC227" t="s">
        <v>609</v>
      </c>
      <c r="AD227" t="s">
        <v>1191</v>
      </c>
      <c r="AE227" t="s">
        <v>1365</v>
      </c>
      <c r="AF227" t="s">
        <v>1376</v>
      </c>
      <c r="AG227" s="6">
        <v>0.28999999999999998</v>
      </c>
      <c r="AH227" s="2">
        <v>0.05</v>
      </c>
      <c r="AI227" s="5">
        <v>3.46</v>
      </c>
      <c r="AJ227" s="5" t="s">
        <v>443</v>
      </c>
      <c r="AK227" s="5">
        <v>2.6</v>
      </c>
      <c r="AL227" s="5">
        <v>9.3000000000000007</v>
      </c>
      <c r="AM227" s="5">
        <v>30.3</v>
      </c>
      <c r="AN227" s="5" t="s">
        <v>443</v>
      </c>
      <c r="AO227" s="5" t="s">
        <v>443</v>
      </c>
      <c r="AP227" s="5" t="s">
        <v>443</v>
      </c>
      <c r="AQ227" s="5" t="s">
        <v>443</v>
      </c>
      <c r="AR227" s="2" t="s">
        <v>1370</v>
      </c>
      <c r="AS227" t="s">
        <v>609</v>
      </c>
    </row>
    <row r="228" spans="1:46" x14ac:dyDescent="0.35">
      <c r="A228" t="s">
        <v>153</v>
      </c>
      <c r="B228" t="s">
        <v>982</v>
      </c>
      <c r="C228" t="s">
        <v>1059</v>
      </c>
      <c r="D228" s="2" t="s">
        <v>592</v>
      </c>
      <c r="E228" s="2" t="s">
        <v>1368</v>
      </c>
      <c r="F228" s="2" t="s">
        <v>619</v>
      </c>
      <c r="G228" s="3" t="s">
        <v>443</v>
      </c>
      <c r="H228" s="3" t="s">
        <v>443</v>
      </c>
      <c r="I228" s="3" t="s">
        <v>443</v>
      </c>
      <c r="J228" s="3" t="s">
        <v>443</v>
      </c>
      <c r="K228" s="3" t="s">
        <v>443</v>
      </c>
      <c r="L228" s="3" t="s">
        <v>443</v>
      </c>
      <c r="M228" s="3" t="s">
        <v>443</v>
      </c>
      <c r="N228" s="3" t="s">
        <v>443</v>
      </c>
      <c r="O228" s="5" t="s">
        <v>443</v>
      </c>
      <c r="P228" s="5" t="s">
        <v>443</v>
      </c>
      <c r="Q228" s="5" t="s">
        <v>443</v>
      </c>
      <c r="R228" s="5" t="s">
        <v>443</v>
      </c>
      <c r="S228" s="5" t="s">
        <v>443</v>
      </c>
      <c r="T228" s="5" t="s">
        <v>443</v>
      </c>
      <c r="U228" s="5" t="s">
        <v>443</v>
      </c>
      <c r="V228" s="5" t="s">
        <v>443</v>
      </c>
      <c r="W228" s="5" t="s">
        <v>443</v>
      </c>
      <c r="X228" s="3" t="s">
        <v>443</v>
      </c>
      <c r="Y228" t="s">
        <v>605</v>
      </c>
      <c r="Z228" s="4">
        <v>43311</v>
      </c>
      <c r="AA228" t="s">
        <v>952</v>
      </c>
      <c r="AB228" t="s">
        <v>953</v>
      </c>
      <c r="AC228" t="s">
        <v>609</v>
      </c>
      <c r="AD228" t="s">
        <v>1235</v>
      </c>
      <c r="AE228" t="s">
        <v>1365</v>
      </c>
      <c r="AF228" t="s">
        <v>1376</v>
      </c>
      <c r="AG228" s="6">
        <v>0.65</v>
      </c>
      <c r="AH228" s="2">
        <v>0.05</v>
      </c>
      <c r="AI228" s="5">
        <v>0.59899999999999998</v>
      </c>
      <c r="AJ228" s="5">
        <v>0.5</v>
      </c>
      <c r="AK228" s="5" t="s">
        <v>443</v>
      </c>
      <c r="AL228" s="5">
        <v>8.6</v>
      </c>
      <c r="AM228" s="5">
        <v>30.8</v>
      </c>
      <c r="AN228" s="5">
        <v>10.8</v>
      </c>
      <c r="AO228" s="2">
        <v>34.4</v>
      </c>
      <c r="AP228" s="5" t="s">
        <v>443</v>
      </c>
      <c r="AQ228" s="5" t="s">
        <v>443</v>
      </c>
      <c r="AR228" s="2" t="s">
        <v>1370</v>
      </c>
      <c r="AS228" t="s">
        <v>609</v>
      </c>
      <c r="AT228" t="s">
        <v>954</v>
      </c>
    </row>
    <row r="229" spans="1:46" x14ac:dyDescent="0.35">
      <c r="A229" t="s">
        <v>154</v>
      </c>
      <c r="B229" t="s">
        <v>982</v>
      </c>
      <c r="C229" t="s">
        <v>1057</v>
      </c>
      <c r="D229" s="2" t="s">
        <v>592</v>
      </c>
      <c r="E229" s="2" t="s">
        <v>1368</v>
      </c>
      <c r="F229" s="2" t="s">
        <v>619</v>
      </c>
      <c r="G229" s="3" t="s">
        <v>443</v>
      </c>
      <c r="H229" s="3" t="s">
        <v>443</v>
      </c>
      <c r="I229" s="3" t="s">
        <v>443</v>
      </c>
      <c r="J229" s="3" t="s">
        <v>443</v>
      </c>
      <c r="K229" s="3" t="s">
        <v>443</v>
      </c>
      <c r="L229" s="3" t="s">
        <v>443</v>
      </c>
      <c r="M229" s="3" t="s">
        <v>443</v>
      </c>
      <c r="N229" s="3" t="s">
        <v>443</v>
      </c>
      <c r="O229" s="5" t="s">
        <v>443</v>
      </c>
      <c r="P229" s="5" t="s">
        <v>443</v>
      </c>
      <c r="Q229" s="5" t="s">
        <v>443</v>
      </c>
      <c r="R229" s="5" t="s">
        <v>443</v>
      </c>
      <c r="S229" s="5" t="s">
        <v>443</v>
      </c>
      <c r="T229" s="5" t="s">
        <v>443</v>
      </c>
      <c r="U229" s="5" t="s">
        <v>443</v>
      </c>
      <c r="V229" s="5" t="s">
        <v>443</v>
      </c>
      <c r="W229" s="5" t="s">
        <v>443</v>
      </c>
      <c r="X229" s="3" t="s">
        <v>443</v>
      </c>
      <c r="Y229" t="s">
        <v>605</v>
      </c>
      <c r="Z229" s="4">
        <v>43311</v>
      </c>
      <c r="AA229" t="s">
        <v>952</v>
      </c>
      <c r="AB229" t="s">
        <v>953</v>
      </c>
      <c r="AC229" t="s">
        <v>609</v>
      </c>
      <c r="AD229" t="s">
        <v>1236</v>
      </c>
      <c r="AE229" t="s">
        <v>1365</v>
      </c>
      <c r="AF229" t="s">
        <v>1376</v>
      </c>
      <c r="AG229" s="6">
        <v>1.8</v>
      </c>
      <c r="AH229" s="2">
        <v>0.05</v>
      </c>
      <c r="AI229" s="5">
        <v>0.6</v>
      </c>
      <c r="AJ229" s="5">
        <v>0.5</v>
      </c>
      <c r="AK229" s="5" t="s">
        <v>443</v>
      </c>
      <c r="AL229" s="5">
        <v>8.6</v>
      </c>
      <c r="AM229" s="5">
        <v>30.5</v>
      </c>
      <c r="AN229" s="5">
        <v>10.9</v>
      </c>
      <c r="AO229" s="2">
        <v>34.1</v>
      </c>
      <c r="AP229" s="5" t="s">
        <v>443</v>
      </c>
      <c r="AQ229" s="5" t="s">
        <v>443</v>
      </c>
      <c r="AR229" s="2" t="s">
        <v>1370</v>
      </c>
      <c r="AS229" t="s">
        <v>609</v>
      </c>
      <c r="AT229" t="s">
        <v>954</v>
      </c>
    </row>
    <row r="230" spans="1:46" x14ac:dyDescent="0.35">
      <c r="A230" t="s">
        <v>172</v>
      </c>
      <c r="B230" t="s">
        <v>986</v>
      </c>
      <c r="C230" t="s">
        <v>1057</v>
      </c>
      <c r="D230" s="2" t="s">
        <v>592</v>
      </c>
      <c r="E230" s="2" t="s">
        <v>1368</v>
      </c>
      <c r="F230" s="2" t="s">
        <v>619</v>
      </c>
      <c r="G230" s="3" t="s">
        <v>443</v>
      </c>
      <c r="H230" s="3" t="s">
        <v>443</v>
      </c>
      <c r="I230" s="3" t="s">
        <v>443</v>
      </c>
      <c r="J230" s="3" t="s">
        <v>443</v>
      </c>
      <c r="K230" s="3" t="s">
        <v>443</v>
      </c>
      <c r="L230" s="3" t="s">
        <v>443</v>
      </c>
      <c r="M230" s="3" t="s">
        <v>443</v>
      </c>
      <c r="N230" s="3" t="s">
        <v>443</v>
      </c>
      <c r="O230" s="5" t="s">
        <v>443</v>
      </c>
      <c r="P230" s="5" t="s">
        <v>443</v>
      </c>
      <c r="Q230" s="5" t="s">
        <v>443</v>
      </c>
      <c r="R230" s="5" t="s">
        <v>443</v>
      </c>
      <c r="S230" s="5" t="s">
        <v>443</v>
      </c>
      <c r="T230" s="5" t="s">
        <v>443</v>
      </c>
      <c r="U230" s="5" t="s">
        <v>443</v>
      </c>
      <c r="V230" s="5" t="s">
        <v>443</v>
      </c>
      <c r="W230" s="5" t="s">
        <v>443</v>
      </c>
      <c r="X230" s="3" t="s">
        <v>443</v>
      </c>
      <c r="Y230" t="s">
        <v>605</v>
      </c>
      <c r="Z230" s="4">
        <v>43311</v>
      </c>
      <c r="AA230" t="s">
        <v>955</v>
      </c>
      <c r="AB230" t="s">
        <v>443</v>
      </c>
      <c r="AC230" t="s">
        <v>609</v>
      </c>
      <c r="AD230" t="s">
        <v>1245</v>
      </c>
      <c r="AE230" t="s">
        <v>1365</v>
      </c>
      <c r="AF230" t="s">
        <v>1376</v>
      </c>
      <c r="AG230" s="6">
        <v>1.6</v>
      </c>
      <c r="AH230" s="2">
        <v>0.05</v>
      </c>
      <c r="AI230" s="5">
        <v>0.67100000000000004</v>
      </c>
      <c r="AJ230" s="5">
        <v>0.5</v>
      </c>
      <c r="AK230" s="5" t="s">
        <v>443</v>
      </c>
      <c r="AL230" s="5">
        <v>8.6</v>
      </c>
      <c r="AM230" s="5">
        <v>29</v>
      </c>
      <c r="AN230" s="5">
        <v>9.6999999999999993</v>
      </c>
      <c r="AO230" s="2">
        <v>88.2</v>
      </c>
      <c r="AP230" s="5" t="s">
        <v>443</v>
      </c>
      <c r="AQ230" s="5" t="s">
        <v>443</v>
      </c>
      <c r="AR230" s="2" t="s">
        <v>1370</v>
      </c>
      <c r="AS230" t="s">
        <v>609</v>
      </c>
      <c r="AT230" t="s">
        <v>956</v>
      </c>
    </row>
    <row r="231" spans="1:46" x14ac:dyDescent="0.35">
      <c r="A231" t="s">
        <v>163</v>
      </c>
      <c r="B231" t="s">
        <v>984</v>
      </c>
      <c r="C231" t="s">
        <v>1058</v>
      </c>
      <c r="D231" s="2" t="s">
        <v>592</v>
      </c>
      <c r="E231" s="2" t="s">
        <v>1368</v>
      </c>
      <c r="F231" s="2" t="s">
        <v>619</v>
      </c>
      <c r="G231" s="3" t="s">
        <v>443</v>
      </c>
      <c r="H231" s="3" t="s">
        <v>443</v>
      </c>
      <c r="I231" s="3" t="s">
        <v>443</v>
      </c>
      <c r="J231" s="3" t="s">
        <v>443</v>
      </c>
      <c r="K231" s="3" t="s">
        <v>443</v>
      </c>
      <c r="L231" s="3" t="s">
        <v>443</v>
      </c>
      <c r="M231" s="3" t="s">
        <v>443</v>
      </c>
      <c r="N231" s="3" t="s">
        <v>443</v>
      </c>
      <c r="O231" s="5" t="s">
        <v>443</v>
      </c>
      <c r="P231" s="5" t="s">
        <v>443</v>
      </c>
      <c r="Q231" s="5" t="s">
        <v>443</v>
      </c>
      <c r="R231" s="5" t="s">
        <v>443</v>
      </c>
      <c r="S231" s="5" t="s">
        <v>443</v>
      </c>
      <c r="T231" s="5" t="s">
        <v>443</v>
      </c>
      <c r="U231" s="5" t="s">
        <v>443</v>
      </c>
      <c r="V231" s="5" t="s">
        <v>443</v>
      </c>
      <c r="W231" s="5" t="s">
        <v>443</v>
      </c>
      <c r="X231" s="3" t="s">
        <v>443</v>
      </c>
      <c r="Y231" t="s">
        <v>605</v>
      </c>
      <c r="Z231" s="4">
        <v>43314</v>
      </c>
      <c r="AA231" t="s">
        <v>164</v>
      </c>
      <c r="AB231" t="s">
        <v>165</v>
      </c>
      <c r="AC231" t="s">
        <v>609</v>
      </c>
      <c r="AD231" t="s">
        <v>1241</v>
      </c>
      <c r="AE231" t="s">
        <v>1365</v>
      </c>
      <c r="AF231" t="s">
        <v>1376</v>
      </c>
      <c r="AG231" s="6">
        <v>0.72</v>
      </c>
      <c r="AH231" s="2">
        <v>0.05</v>
      </c>
      <c r="AI231" s="5">
        <v>0.40200000000000002</v>
      </c>
      <c r="AJ231" s="5">
        <v>0.3</v>
      </c>
      <c r="AK231" s="5" t="s">
        <v>443</v>
      </c>
      <c r="AL231" s="5">
        <v>7.5</v>
      </c>
      <c r="AM231" s="5">
        <v>28</v>
      </c>
      <c r="AN231" s="5">
        <v>2.2999999999999998</v>
      </c>
      <c r="AO231" s="2">
        <v>6.2</v>
      </c>
      <c r="AP231" s="5" t="s">
        <v>443</v>
      </c>
      <c r="AQ231" s="5" t="s">
        <v>443</v>
      </c>
      <c r="AR231" s="2" t="s">
        <v>1370</v>
      </c>
      <c r="AS231" t="s">
        <v>609</v>
      </c>
    </row>
    <row r="232" spans="1:46" x14ac:dyDescent="0.35">
      <c r="A232" t="s">
        <v>166</v>
      </c>
      <c r="B232" t="s">
        <v>984</v>
      </c>
      <c r="C232" t="s">
        <v>1059</v>
      </c>
      <c r="D232" s="2" t="s">
        <v>592</v>
      </c>
      <c r="E232" s="2" t="s">
        <v>1368</v>
      </c>
      <c r="F232" s="2" t="s">
        <v>619</v>
      </c>
      <c r="G232" s="3" t="s">
        <v>443</v>
      </c>
      <c r="H232" s="3" t="s">
        <v>443</v>
      </c>
      <c r="I232" s="3" t="s">
        <v>443</v>
      </c>
      <c r="J232" s="3" t="s">
        <v>443</v>
      </c>
      <c r="K232" s="3" t="s">
        <v>443</v>
      </c>
      <c r="L232" s="3" t="s">
        <v>443</v>
      </c>
      <c r="M232" s="3" t="s">
        <v>443</v>
      </c>
      <c r="N232" s="3" t="s">
        <v>443</v>
      </c>
      <c r="O232" s="5" t="s">
        <v>443</v>
      </c>
      <c r="P232" s="5" t="s">
        <v>443</v>
      </c>
      <c r="Q232" s="5" t="s">
        <v>443</v>
      </c>
      <c r="R232" s="5" t="s">
        <v>443</v>
      </c>
      <c r="S232" s="5" t="s">
        <v>443</v>
      </c>
      <c r="T232" s="5" t="s">
        <v>443</v>
      </c>
      <c r="U232" s="5" t="s">
        <v>443</v>
      </c>
      <c r="V232" s="5" t="s">
        <v>443</v>
      </c>
      <c r="W232" s="5" t="s">
        <v>443</v>
      </c>
      <c r="X232" s="3" t="s">
        <v>443</v>
      </c>
      <c r="Y232" t="s">
        <v>605</v>
      </c>
      <c r="Z232" s="4">
        <v>43314</v>
      </c>
      <c r="AA232" t="s">
        <v>164</v>
      </c>
      <c r="AB232" t="s">
        <v>167</v>
      </c>
      <c r="AC232" t="s">
        <v>609</v>
      </c>
      <c r="AD232" t="s">
        <v>1242</v>
      </c>
      <c r="AE232" t="s">
        <v>1365</v>
      </c>
      <c r="AF232" t="s">
        <v>1376</v>
      </c>
      <c r="AG232" s="6">
        <v>0.25</v>
      </c>
      <c r="AH232" s="2">
        <v>0.05</v>
      </c>
      <c r="AI232" s="5">
        <v>0.38800000000000001</v>
      </c>
      <c r="AJ232" s="5">
        <v>0.3</v>
      </c>
      <c r="AK232" s="5" t="s">
        <v>443</v>
      </c>
      <c r="AL232" s="5">
        <v>7.5</v>
      </c>
      <c r="AM232" s="5">
        <v>27</v>
      </c>
      <c r="AN232" s="5">
        <v>2.5</v>
      </c>
      <c r="AO232" s="2">
        <v>10.5</v>
      </c>
      <c r="AP232" s="5" t="s">
        <v>443</v>
      </c>
      <c r="AQ232" s="5" t="s">
        <v>443</v>
      </c>
      <c r="AR232" s="2" t="s">
        <v>1370</v>
      </c>
      <c r="AS232" t="s">
        <v>609</v>
      </c>
    </row>
    <row r="233" spans="1:46" x14ac:dyDescent="0.35">
      <c r="A233" t="s">
        <v>155</v>
      </c>
      <c r="B233" t="s">
        <v>127</v>
      </c>
      <c r="C233" t="s">
        <v>1060</v>
      </c>
      <c r="D233" s="2" t="s">
        <v>592</v>
      </c>
      <c r="E233" s="2" t="s">
        <v>1368</v>
      </c>
      <c r="F233" s="2" t="s">
        <v>619</v>
      </c>
      <c r="G233" s="3">
        <v>34</v>
      </c>
      <c r="H233" s="3">
        <v>8</v>
      </c>
      <c r="I233" s="3">
        <v>37</v>
      </c>
      <c r="J233" s="3">
        <v>54</v>
      </c>
      <c r="K233" s="3">
        <v>33</v>
      </c>
      <c r="L233" s="3">
        <v>137</v>
      </c>
      <c r="M233" s="3">
        <v>228</v>
      </c>
      <c r="N233" s="3">
        <v>19</v>
      </c>
      <c r="O233" s="5">
        <v>18.545971720309531</v>
      </c>
      <c r="P233" s="5">
        <v>2.5658004504282599</v>
      </c>
      <c r="Q233" s="5">
        <v>23.153340267181662</v>
      </c>
      <c r="R233" s="5">
        <v>55.734887562080537</v>
      </c>
      <c r="S233" s="5">
        <v>11.417622875592517</v>
      </c>
      <c r="T233" s="5">
        <v>34.985329963435987</v>
      </c>
      <c r="U233" s="5">
        <v>45.829027072228726</v>
      </c>
      <c r="V233" s="5">
        <v>7.7680200887427677</v>
      </c>
      <c r="W233" s="5">
        <v>53.597047160971492</v>
      </c>
      <c r="X233" s="3">
        <v>-1</v>
      </c>
      <c r="Y233" t="s">
        <v>680</v>
      </c>
      <c r="Z233" s="4">
        <v>43318</v>
      </c>
      <c r="AA233" t="s">
        <v>128</v>
      </c>
      <c r="AB233" t="s">
        <v>156</v>
      </c>
      <c r="AC233" t="s">
        <v>609</v>
      </c>
      <c r="AD233" t="s">
        <v>1237</v>
      </c>
      <c r="AE233" t="s">
        <v>1365</v>
      </c>
      <c r="AF233" t="s">
        <v>1376</v>
      </c>
      <c r="AG233" s="6">
        <v>4.5</v>
      </c>
      <c r="AH233" s="2">
        <v>0.05</v>
      </c>
      <c r="AI233" s="5">
        <v>0.78</v>
      </c>
      <c r="AJ233" s="5">
        <v>0.6</v>
      </c>
      <c r="AK233" s="5" t="s">
        <v>443</v>
      </c>
      <c r="AL233" s="5">
        <v>8.6999999999999993</v>
      </c>
      <c r="AM233" s="5">
        <v>28.1</v>
      </c>
      <c r="AN233" s="5">
        <v>7.8</v>
      </c>
      <c r="AO233" s="2">
        <v>1.4</v>
      </c>
      <c r="AP233" s="5" t="s">
        <v>443</v>
      </c>
      <c r="AQ233" s="5" t="s">
        <v>443</v>
      </c>
      <c r="AR233" s="2" t="s">
        <v>1370</v>
      </c>
      <c r="AS233" t="s">
        <v>609</v>
      </c>
    </row>
    <row r="234" spans="1:46" x14ac:dyDescent="0.35">
      <c r="A234" t="s">
        <v>157</v>
      </c>
      <c r="B234" t="s">
        <v>127</v>
      </c>
      <c r="C234" t="s">
        <v>1061</v>
      </c>
      <c r="D234" s="2" t="s">
        <v>592</v>
      </c>
      <c r="E234" s="2" t="s">
        <v>1368</v>
      </c>
      <c r="F234" s="2" t="s">
        <v>619</v>
      </c>
      <c r="G234" s="3">
        <v>31</v>
      </c>
      <c r="H234" s="3">
        <v>7</v>
      </c>
      <c r="I234" s="3">
        <v>47</v>
      </c>
      <c r="J234" s="3">
        <v>47</v>
      </c>
      <c r="K234" s="3">
        <v>30</v>
      </c>
      <c r="L234" s="3">
        <v>115</v>
      </c>
      <c r="M234" s="3">
        <v>251</v>
      </c>
      <c r="N234" s="3">
        <v>15</v>
      </c>
      <c r="O234" s="5">
        <v>17.418956783878837</v>
      </c>
      <c r="P234" s="5">
        <v>2.3127074624450303</v>
      </c>
      <c r="Q234" s="5">
        <v>30.296995321751012</v>
      </c>
      <c r="R234" s="5">
        <v>49.971340431925121</v>
      </c>
      <c r="S234" s="5">
        <v>10.774915199371057</v>
      </c>
      <c r="T234" s="5">
        <v>30.485554541630894</v>
      </c>
      <c r="U234" s="5">
        <v>52.373351195369658</v>
      </c>
      <c r="V234" s="5">
        <v>6.3661790636283992</v>
      </c>
      <c r="W234" s="5">
        <v>58.739530258998059</v>
      </c>
      <c r="X234" s="3">
        <v>-1</v>
      </c>
      <c r="Y234" t="s">
        <v>680</v>
      </c>
      <c r="Z234" s="4">
        <v>43318</v>
      </c>
      <c r="AA234" t="s">
        <v>128</v>
      </c>
      <c r="AB234" t="s">
        <v>158</v>
      </c>
      <c r="AC234" t="s">
        <v>609</v>
      </c>
      <c r="AD234" t="s">
        <v>1238</v>
      </c>
      <c r="AE234" t="s">
        <v>1365</v>
      </c>
      <c r="AF234" t="s">
        <v>1376</v>
      </c>
      <c r="AG234" s="6">
        <v>3.1</v>
      </c>
      <c r="AH234" s="2">
        <v>0.05</v>
      </c>
      <c r="AI234" s="5">
        <v>0.71199999999999997</v>
      </c>
      <c r="AJ234" s="5">
        <v>0.6</v>
      </c>
      <c r="AK234" s="5" t="s">
        <v>443</v>
      </c>
      <c r="AL234" s="5">
        <v>8.6</v>
      </c>
      <c r="AM234" s="5">
        <v>27.3</v>
      </c>
      <c r="AN234" s="5">
        <v>7.4</v>
      </c>
      <c r="AO234" s="2">
        <v>6.1</v>
      </c>
      <c r="AP234" s="5" t="s">
        <v>443</v>
      </c>
      <c r="AQ234" s="5" t="s">
        <v>443</v>
      </c>
      <c r="AR234" s="2" t="s">
        <v>1370</v>
      </c>
      <c r="AS234" t="s">
        <v>609</v>
      </c>
    </row>
    <row r="235" spans="1:46" x14ac:dyDescent="0.35">
      <c r="A235" t="s">
        <v>180</v>
      </c>
      <c r="B235" t="s">
        <v>127</v>
      </c>
      <c r="C235" t="s">
        <v>1064</v>
      </c>
      <c r="D235" s="2" t="s">
        <v>592</v>
      </c>
      <c r="E235" s="2" t="s">
        <v>1368</v>
      </c>
      <c r="F235" s="2" t="s">
        <v>619</v>
      </c>
      <c r="G235" s="3">
        <v>31</v>
      </c>
      <c r="H235" s="3">
        <v>5</v>
      </c>
      <c r="I235" s="3">
        <v>78</v>
      </c>
      <c r="J235" s="3">
        <v>36</v>
      </c>
      <c r="K235" s="3">
        <v>30</v>
      </c>
      <c r="L235" s="3">
        <v>69</v>
      </c>
      <c r="M235" s="3">
        <v>381</v>
      </c>
      <c r="N235" s="3">
        <v>0</v>
      </c>
      <c r="O235" s="5">
        <v>16.18457075404265</v>
      </c>
      <c r="P235" s="5">
        <v>1.5348703969781392</v>
      </c>
      <c r="Q235" s="5">
        <v>46.717043280478329</v>
      </c>
      <c r="R235" s="5">
        <v>35.563515568500883</v>
      </c>
      <c r="S235" s="5">
        <v>9.9248297895798441</v>
      </c>
      <c r="T235" s="5">
        <v>16.848240618225955</v>
      </c>
      <c r="U235" s="5">
        <v>73.226929592194196</v>
      </c>
      <c r="V235" s="5">
        <v>0</v>
      </c>
      <c r="W235" s="5">
        <v>73.226929592194196</v>
      </c>
      <c r="X235" s="3">
        <v>-1</v>
      </c>
      <c r="Y235" t="s">
        <v>680</v>
      </c>
      <c r="Z235" s="4">
        <v>43318</v>
      </c>
      <c r="AA235" t="s">
        <v>128</v>
      </c>
      <c r="AB235" t="s">
        <v>181</v>
      </c>
      <c r="AC235" t="s">
        <v>609</v>
      </c>
      <c r="AD235" t="s">
        <v>1249</v>
      </c>
      <c r="AE235" t="s">
        <v>1365</v>
      </c>
      <c r="AF235" t="s">
        <v>1376</v>
      </c>
      <c r="AG235" s="6">
        <v>4.2</v>
      </c>
      <c r="AH235" s="2">
        <v>0.05</v>
      </c>
      <c r="AI235" s="5">
        <v>0.624</v>
      </c>
      <c r="AJ235" s="5">
        <v>0.5</v>
      </c>
      <c r="AK235" s="5" t="s">
        <v>443</v>
      </c>
      <c r="AL235" s="5">
        <v>7.6</v>
      </c>
      <c r="AM235" s="5">
        <v>24.3</v>
      </c>
      <c r="AN235" s="5">
        <v>0.3</v>
      </c>
      <c r="AO235" s="2">
        <v>3.4</v>
      </c>
      <c r="AP235" s="5" t="s">
        <v>443</v>
      </c>
      <c r="AQ235" s="5" t="s">
        <v>443</v>
      </c>
      <c r="AR235" s="2" t="s">
        <v>1370</v>
      </c>
      <c r="AS235" t="s">
        <v>609</v>
      </c>
    </row>
    <row r="236" spans="1:46" x14ac:dyDescent="0.35">
      <c r="A236" t="s">
        <v>139</v>
      </c>
      <c r="B236" t="s">
        <v>975</v>
      </c>
      <c r="C236" t="s">
        <v>1055</v>
      </c>
      <c r="D236" s="2" t="s">
        <v>592</v>
      </c>
      <c r="E236" s="2" t="s">
        <v>1368</v>
      </c>
      <c r="F236" s="2" t="s">
        <v>716</v>
      </c>
      <c r="G236" s="3">
        <v>426</v>
      </c>
      <c r="H236" s="3">
        <v>34</v>
      </c>
      <c r="I236" s="3">
        <v>16</v>
      </c>
      <c r="J236" s="3">
        <v>156</v>
      </c>
      <c r="K236" s="3">
        <v>329</v>
      </c>
      <c r="L236" s="3">
        <v>524</v>
      </c>
      <c r="M236" s="3">
        <v>769</v>
      </c>
      <c r="N236" s="3">
        <v>29</v>
      </c>
      <c r="O236" s="5">
        <v>56.087550456698303</v>
      </c>
      <c r="P236" s="5">
        <v>2.6320734537650399</v>
      </c>
      <c r="Q236" s="5">
        <v>2.4166742290058298</v>
      </c>
      <c r="R236" s="5">
        <v>38.863701860530803</v>
      </c>
      <c r="S236" s="5">
        <v>27.490468793535001</v>
      </c>
      <c r="T236" s="5">
        <v>32.3162670123819</v>
      </c>
      <c r="U236" s="5">
        <v>37.329882588896403</v>
      </c>
      <c r="V236" s="5">
        <v>2.86338160518679</v>
      </c>
      <c r="W236" s="5">
        <v>40.193264194083199</v>
      </c>
      <c r="X236" s="2">
        <v>-1</v>
      </c>
      <c r="Y236" t="s">
        <v>609</v>
      </c>
      <c r="Z236" s="4">
        <v>43319</v>
      </c>
      <c r="AA236" t="s">
        <v>55</v>
      </c>
      <c r="AB236" t="s">
        <v>56</v>
      </c>
      <c r="AC236" t="s">
        <v>609</v>
      </c>
      <c r="AD236" t="s">
        <v>1229</v>
      </c>
      <c r="AE236" t="s">
        <v>1365</v>
      </c>
      <c r="AF236" t="s">
        <v>1376</v>
      </c>
      <c r="AG236" s="6">
        <v>1.3</v>
      </c>
      <c r="AH236" s="2">
        <v>0.5</v>
      </c>
      <c r="AI236" s="5">
        <v>2.6</v>
      </c>
      <c r="AJ236" s="5">
        <v>2.1</v>
      </c>
      <c r="AK236" s="5" t="s">
        <v>443</v>
      </c>
      <c r="AL236" s="5">
        <v>8.6999999999999993</v>
      </c>
      <c r="AM236" s="5">
        <v>28.5</v>
      </c>
      <c r="AN236" s="5">
        <v>6.6</v>
      </c>
      <c r="AO236" s="2">
        <v>5.3</v>
      </c>
      <c r="AP236" s="5" t="s">
        <v>443</v>
      </c>
      <c r="AQ236" s="5" t="s">
        <v>443</v>
      </c>
      <c r="AR236" s="2" t="s">
        <v>1370</v>
      </c>
      <c r="AS236" t="s">
        <v>609</v>
      </c>
    </row>
    <row r="237" spans="1:46" x14ac:dyDescent="0.35">
      <c r="A237" t="s">
        <v>159</v>
      </c>
      <c r="B237" t="s">
        <v>975</v>
      </c>
      <c r="C237" t="s">
        <v>1062</v>
      </c>
      <c r="D237" s="2" t="s">
        <v>592</v>
      </c>
      <c r="E237" s="2" t="s">
        <v>1368</v>
      </c>
      <c r="F237" s="2" t="s">
        <v>716</v>
      </c>
      <c r="G237" s="3">
        <v>424</v>
      </c>
      <c r="H237" s="3">
        <v>35</v>
      </c>
      <c r="I237" s="3">
        <v>26</v>
      </c>
      <c r="J237" s="3">
        <v>158</v>
      </c>
      <c r="K237" s="3">
        <v>315</v>
      </c>
      <c r="L237" s="3">
        <v>500</v>
      </c>
      <c r="M237" s="3">
        <v>769</v>
      </c>
      <c r="N237" s="3">
        <v>58</v>
      </c>
      <c r="O237" s="5">
        <v>54.824898965630709</v>
      </c>
      <c r="P237" s="5">
        <v>2.6609838677251569</v>
      </c>
      <c r="Q237" s="5">
        <v>3.8567952665089744</v>
      </c>
      <c r="R237" s="5">
        <v>38.657321900135159</v>
      </c>
      <c r="S237" s="5">
        <v>26.264602428829388</v>
      </c>
      <c r="T237" s="5">
        <v>30.770456166681598</v>
      </c>
      <c r="U237" s="5">
        <v>37.250375367037577</v>
      </c>
      <c r="V237" s="5">
        <v>5.7145660374514389</v>
      </c>
      <c r="W237" s="5">
        <v>42.964941404489018</v>
      </c>
      <c r="X237" s="2">
        <v>0</v>
      </c>
      <c r="Y237" t="s">
        <v>609</v>
      </c>
      <c r="Z237" s="4">
        <v>43319</v>
      </c>
      <c r="AA237" t="s">
        <v>55</v>
      </c>
      <c r="AB237" t="s">
        <v>57</v>
      </c>
      <c r="AC237" t="s">
        <v>609</v>
      </c>
      <c r="AD237" t="s">
        <v>1239</v>
      </c>
      <c r="AE237" t="s">
        <v>1365</v>
      </c>
      <c r="AF237" t="s">
        <v>1376</v>
      </c>
      <c r="AG237" s="6">
        <v>0.75</v>
      </c>
      <c r="AH237" s="2">
        <v>0.5</v>
      </c>
      <c r="AI237" s="5">
        <v>2.9</v>
      </c>
      <c r="AJ237" s="5">
        <v>2.2999999999999998</v>
      </c>
      <c r="AK237" s="5" t="s">
        <v>443</v>
      </c>
      <c r="AL237" s="5">
        <v>8.6999999999999993</v>
      </c>
      <c r="AM237" s="5">
        <v>28.9</v>
      </c>
      <c r="AN237" s="5">
        <v>6.4</v>
      </c>
      <c r="AO237" s="2">
        <v>16.7</v>
      </c>
      <c r="AP237" s="5" t="s">
        <v>443</v>
      </c>
      <c r="AQ237" s="5" t="s">
        <v>443</v>
      </c>
      <c r="AR237" s="2" t="s">
        <v>1370</v>
      </c>
      <c r="AS237" t="s">
        <v>609</v>
      </c>
    </row>
    <row r="238" spans="1:46" x14ac:dyDescent="0.35">
      <c r="A238" t="s">
        <v>168</v>
      </c>
      <c r="B238" t="s">
        <v>975</v>
      </c>
      <c r="C238" t="s">
        <v>1063</v>
      </c>
      <c r="D238" s="2" t="s">
        <v>592</v>
      </c>
      <c r="E238" s="2" t="s">
        <v>1368</v>
      </c>
      <c r="F238" s="2" t="s">
        <v>716</v>
      </c>
      <c r="G238" s="3">
        <v>424</v>
      </c>
      <c r="H238" s="3">
        <v>35</v>
      </c>
      <c r="I238" s="3">
        <v>26</v>
      </c>
      <c r="J238" s="3">
        <v>158</v>
      </c>
      <c r="K238" s="3">
        <v>315</v>
      </c>
      <c r="L238" s="3">
        <v>500</v>
      </c>
      <c r="M238" s="3">
        <v>769</v>
      </c>
      <c r="N238" s="3">
        <v>58</v>
      </c>
      <c r="O238" s="5">
        <v>54.824898965630709</v>
      </c>
      <c r="P238" s="5">
        <v>2.6609838677251569</v>
      </c>
      <c r="Q238" s="5">
        <v>3.8567952665089744</v>
      </c>
      <c r="R238" s="5">
        <v>38.657321900135159</v>
      </c>
      <c r="S238" s="5">
        <v>26.264602428829388</v>
      </c>
      <c r="T238" s="5">
        <v>30.770456166681598</v>
      </c>
      <c r="U238" s="5">
        <v>37.250375367037577</v>
      </c>
      <c r="V238" s="5">
        <v>5.7145660374514389</v>
      </c>
      <c r="W238" s="5">
        <f>SUM(U238:V238)</f>
        <v>42.964941404489018</v>
      </c>
      <c r="X238" s="2">
        <v>0</v>
      </c>
      <c r="Y238" t="s">
        <v>609</v>
      </c>
      <c r="Z238" s="4">
        <v>43319</v>
      </c>
      <c r="AA238" t="s">
        <v>55</v>
      </c>
      <c r="AB238" t="s">
        <v>443</v>
      </c>
      <c r="AC238" t="s">
        <v>609</v>
      </c>
      <c r="AD238" t="s">
        <v>1243</v>
      </c>
      <c r="AE238" t="s">
        <v>1365</v>
      </c>
      <c r="AF238" t="s">
        <v>1376</v>
      </c>
      <c r="AG238" s="6">
        <v>1</v>
      </c>
      <c r="AH238" s="2">
        <v>0.5</v>
      </c>
      <c r="AI238" s="5">
        <v>2.8</v>
      </c>
      <c r="AJ238" s="5">
        <v>2.2000000000000002</v>
      </c>
      <c r="AK238" s="5" t="s">
        <v>443</v>
      </c>
      <c r="AL238" s="5">
        <v>8.8000000000000007</v>
      </c>
      <c r="AM238" s="5">
        <v>30.1</v>
      </c>
      <c r="AN238" s="5">
        <v>7.4</v>
      </c>
      <c r="AO238" s="2">
        <v>18.7</v>
      </c>
      <c r="AP238" s="5" t="s">
        <v>443</v>
      </c>
      <c r="AQ238" s="5" t="s">
        <v>443</v>
      </c>
      <c r="AR238" s="2" t="s">
        <v>1370</v>
      </c>
      <c r="AS238" t="s">
        <v>609</v>
      </c>
      <c r="AT238" s="5" t="s">
        <v>957</v>
      </c>
    </row>
    <row r="239" spans="1:46" x14ac:dyDescent="0.35">
      <c r="A239" t="s">
        <v>145</v>
      </c>
      <c r="B239" t="s">
        <v>980</v>
      </c>
      <c r="C239" t="s">
        <v>1057</v>
      </c>
      <c r="D239" s="2" t="s">
        <v>592</v>
      </c>
      <c r="E239" s="2" t="s">
        <v>1368</v>
      </c>
      <c r="F239" s="2" t="s">
        <v>619</v>
      </c>
      <c r="G239" s="3" t="s">
        <v>443</v>
      </c>
      <c r="H239" s="3" t="s">
        <v>443</v>
      </c>
      <c r="I239" s="3" t="s">
        <v>443</v>
      </c>
      <c r="J239" s="3" t="s">
        <v>443</v>
      </c>
      <c r="K239" s="3" t="s">
        <v>443</v>
      </c>
      <c r="L239" s="3" t="s">
        <v>443</v>
      </c>
      <c r="M239" s="3" t="s">
        <v>443</v>
      </c>
      <c r="N239" s="3" t="s">
        <v>443</v>
      </c>
      <c r="O239" s="5" t="s">
        <v>443</v>
      </c>
      <c r="P239" s="5" t="s">
        <v>443</v>
      </c>
      <c r="Q239" s="5" t="s">
        <v>443</v>
      </c>
      <c r="R239" s="5" t="s">
        <v>443</v>
      </c>
      <c r="S239" s="5" t="s">
        <v>443</v>
      </c>
      <c r="T239" s="5" t="s">
        <v>443</v>
      </c>
      <c r="U239" s="5" t="s">
        <v>443</v>
      </c>
      <c r="V239" s="5" t="s">
        <v>443</v>
      </c>
      <c r="W239" s="5" t="s">
        <v>443</v>
      </c>
      <c r="X239" s="3" t="s">
        <v>443</v>
      </c>
      <c r="Y239" t="s">
        <v>605</v>
      </c>
      <c r="Z239" s="4">
        <v>43321</v>
      </c>
      <c r="AA239" t="s">
        <v>146</v>
      </c>
      <c r="AB239" t="s">
        <v>147</v>
      </c>
      <c r="AC239" t="s">
        <v>609</v>
      </c>
      <c r="AD239" t="s">
        <v>1232</v>
      </c>
      <c r="AE239" t="s">
        <v>1365</v>
      </c>
      <c r="AF239" t="s">
        <v>1376</v>
      </c>
      <c r="AG239" s="6">
        <v>4.05</v>
      </c>
      <c r="AH239" s="2">
        <v>0.05</v>
      </c>
      <c r="AI239" s="5">
        <v>0.59699999999999998</v>
      </c>
      <c r="AJ239" s="5">
        <v>0.5</v>
      </c>
      <c r="AK239" s="5" t="s">
        <v>443</v>
      </c>
      <c r="AL239" s="5">
        <v>8.6</v>
      </c>
      <c r="AM239" s="5">
        <v>28.1</v>
      </c>
      <c r="AN239" s="5">
        <v>7</v>
      </c>
      <c r="AO239" s="2">
        <v>70.7</v>
      </c>
      <c r="AP239" s="5" t="s">
        <v>443</v>
      </c>
      <c r="AQ239" s="5" t="s">
        <v>443</v>
      </c>
      <c r="AR239" s="2" t="s">
        <v>1370</v>
      </c>
      <c r="AS239" t="s">
        <v>609</v>
      </c>
    </row>
    <row r="240" spans="1:46" x14ac:dyDescent="0.35">
      <c r="A240" t="s">
        <v>160</v>
      </c>
      <c r="B240" t="s">
        <v>983</v>
      </c>
      <c r="C240" t="s">
        <v>1057</v>
      </c>
      <c r="D240" s="2" t="s">
        <v>592</v>
      </c>
      <c r="E240" s="2" t="s">
        <v>1368</v>
      </c>
      <c r="F240" s="2" t="s">
        <v>619</v>
      </c>
      <c r="G240" s="3" t="s">
        <v>443</v>
      </c>
      <c r="H240" s="3" t="s">
        <v>443</v>
      </c>
      <c r="I240" s="3" t="s">
        <v>443</v>
      </c>
      <c r="J240" s="3" t="s">
        <v>443</v>
      </c>
      <c r="K240" s="3" t="s">
        <v>443</v>
      </c>
      <c r="L240" s="3" t="s">
        <v>443</v>
      </c>
      <c r="M240" s="3" t="s">
        <v>443</v>
      </c>
      <c r="N240" s="3" t="s">
        <v>443</v>
      </c>
      <c r="O240" s="5" t="s">
        <v>443</v>
      </c>
      <c r="P240" s="5" t="s">
        <v>443</v>
      </c>
      <c r="Q240" s="5" t="s">
        <v>443</v>
      </c>
      <c r="R240" s="5" t="s">
        <v>443</v>
      </c>
      <c r="S240" s="5" t="s">
        <v>443</v>
      </c>
      <c r="T240" s="5" t="s">
        <v>443</v>
      </c>
      <c r="U240" s="5" t="s">
        <v>443</v>
      </c>
      <c r="V240" s="5" t="s">
        <v>443</v>
      </c>
      <c r="W240" s="5" t="s">
        <v>443</v>
      </c>
      <c r="X240" s="3" t="s">
        <v>443</v>
      </c>
      <c r="Y240" t="s">
        <v>605</v>
      </c>
      <c r="Z240" s="4">
        <v>43321</v>
      </c>
      <c r="AA240" t="s">
        <v>161</v>
      </c>
      <c r="AB240" t="s">
        <v>162</v>
      </c>
      <c r="AC240" t="s">
        <v>609</v>
      </c>
      <c r="AD240" t="s">
        <v>1240</v>
      </c>
      <c r="AE240" t="s">
        <v>1365</v>
      </c>
      <c r="AF240" t="s">
        <v>1376</v>
      </c>
      <c r="AG240" s="6">
        <v>3.5</v>
      </c>
      <c r="AH240" s="2">
        <v>0.05</v>
      </c>
      <c r="AI240" s="5" t="s">
        <v>443</v>
      </c>
      <c r="AJ240" s="5" t="s">
        <v>443</v>
      </c>
      <c r="AK240" s="5" t="s">
        <v>443</v>
      </c>
      <c r="AL240" s="5">
        <v>8.6999999999999993</v>
      </c>
      <c r="AM240" s="5">
        <v>29</v>
      </c>
      <c r="AN240" s="5">
        <v>17.7</v>
      </c>
      <c r="AO240" s="2">
        <v>116.3</v>
      </c>
      <c r="AP240" s="5" t="s">
        <v>443</v>
      </c>
      <c r="AQ240" s="5" t="s">
        <v>443</v>
      </c>
      <c r="AR240" s="2" t="s">
        <v>1370</v>
      </c>
      <c r="AS240" t="s">
        <v>609</v>
      </c>
    </row>
    <row r="241" spans="1:46" x14ac:dyDescent="0.35">
      <c r="A241" t="s">
        <v>169</v>
      </c>
      <c r="B241" t="s">
        <v>985</v>
      </c>
      <c r="C241" t="s">
        <v>1057</v>
      </c>
      <c r="D241" s="2" t="s">
        <v>592</v>
      </c>
      <c r="E241" s="2" t="s">
        <v>1368</v>
      </c>
      <c r="F241" s="2" t="s">
        <v>619</v>
      </c>
      <c r="G241" s="3" t="s">
        <v>443</v>
      </c>
      <c r="H241" s="3" t="s">
        <v>443</v>
      </c>
      <c r="I241" s="3" t="s">
        <v>443</v>
      </c>
      <c r="J241" s="3" t="s">
        <v>443</v>
      </c>
      <c r="K241" s="3" t="s">
        <v>443</v>
      </c>
      <c r="L241" s="3" t="s">
        <v>443</v>
      </c>
      <c r="M241" s="3" t="s">
        <v>443</v>
      </c>
      <c r="N241" s="3" t="s">
        <v>443</v>
      </c>
      <c r="O241" s="5" t="s">
        <v>443</v>
      </c>
      <c r="P241" s="5" t="s">
        <v>443</v>
      </c>
      <c r="Q241" s="5" t="s">
        <v>443</v>
      </c>
      <c r="R241" s="5" t="s">
        <v>443</v>
      </c>
      <c r="S241" s="5" t="s">
        <v>443</v>
      </c>
      <c r="T241" s="5" t="s">
        <v>443</v>
      </c>
      <c r="U241" s="5" t="s">
        <v>443</v>
      </c>
      <c r="V241" s="5" t="s">
        <v>443</v>
      </c>
      <c r="W241" s="5" t="s">
        <v>443</v>
      </c>
      <c r="X241" s="3" t="s">
        <v>443</v>
      </c>
      <c r="Y241" t="s">
        <v>605</v>
      </c>
      <c r="Z241" s="4">
        <v>43325</v>
      </c>
      <c r="AA241" t="s">
        <v>170</v>
      </c>
      <c r="AB241" t="s">
        <v>171</v>
      </c>
      <c r="AC241" t="s">
        <v>609</v>
      </c>
      <c r="AD241" t="s">
        <v>1244</v>
      </c>
      <c r="AE241" t="s">
        <v>1365</v>
      </c>
      <c r="AF241" t="s">
        <v>1376</v>
      </c>
      <c r="AG241" s="6">
        <v>0.75</v>
      </c>
      <c r="AH241" s="2">
        <v>0.05</v>
      </c>
      <c r="AI241" s="5">
        <v>0.64700000000000002</v>
      </c>
      <c r="AJ241" s="5">
        <v>0.5</v>
      </c>
      <c r="AK241" s="5" t="s">
        <v>443</v>
      </c>
      <c r="AL241" s="5">
        <v>9.6999999999999993</v>
      </c>
      <c r="AM241" s="5">
        <v>31.3</v>
      </c>
      <c r="AN241" s="5">
        <v>14.5</v>
      </c>
      <c r="AO241" s="2">
        <v>140.19999999999999</v>
      </c>
      <c r="AP241" s="5" t="s">
        <v>443</v>
      </c>
      <c r="AQ241" s="5" t="s">
        <v>443</v>
      </c>
      <c r="AR241" s="2" t="s">
        <v>1370</v>
      </c>
      <c r="AS241" t="s">
        <v>609</v>
      </c>
    </row>
    <row r="242" spans="1:46" x14ac:dyDescent="0.35">
      <c r="A242" t="s">
        <v>134</v>
      </c>
      <c r="B242" t="s">
        <v>978</v>
      </c>
      <c r="C242" t="s">
        <v>1057</v>
      </c>
      <c r="D242" s="2" t="s">
        <v>592</v>
      </c>
      <c r="E242" s="2" t="s">
        <v>1368</v>
      </c>
      <c r="F242" s="2" t="s">
        <v>619</v>
      </c>
      <c r="G242" s="3" t="s">
        <v>443</v>
      </c>
      <c r="H242" s="3" t="s">
        <v>443</v>
      </c>
      <c r="I242" s="3" t="s">
        <v>443</v>
      </c>
      <c r="J242" s="3" t="s">
        <v>443</v>
      </c>
      <c r="K242" s="3" t="s">
        <v>443</v>
      </c>
      <c r="L242" s="3" t="s">
        <v>443</v>
      </c>
      <c r="M242" s="3" t="s">
        <v>443</v>
      </c>
      <c r="N242" s="3" t="s">
        <v>443</v>
      </c>
      <c r="O242" s="5" t="s">
        <v>443</v>
      </c>
      <c r="P242" s="5" t="s">
        <v>443</v>
      </c>
      <c r="Q242" s="5" t="s">
        <v>443</v>
      </c>
      <c r="R242" s="5" t="s">
        <v>443</v>
      </c>
      <c r="S242" s="5" t="s">
        <v>443</v>
      </c>
      <c r="T242" s="5" t="s">
        <v>443</v>
      </c>
      <c r="U242" s="5" t="s">
        <v>443</v>
      </c>
      <c r="V242" s="5" t="s">
        <v>443</v>
      </c>
      <c r="W242" s="5" t="s">
        <v>443</v>
      </c>
      <c r="X242" s="3" t="s">
        <v>443</v>
      </c>
      <c r="Y242" t="s">
        <v>605</v>
      </c>
      <c r="Z242" s="4">
        <v>43327</v>
      </c>
      <c r="AA242" t="s">
        <v>135</v>
      </c>
      <c r="AB242" t="s">
        <v>136</v>
      </c>
      <c r="AC242" t="s">
        <v>609</v>
      </c>
      <c r="AD242" t="s">
        <v>1227</v>
      </c>
      <c r="AE242" t="s">
        <v>1365</v>
      </c>
      <c r="AF242" t="s">
        <v>1376</v>
      </c>
      <c r="AG242" s="6">
        <v>2.1</v>
      </c>
      <c r="AH242" s="2">
        <v>0.05</v>
      </c>
      <c r="AI242" s="5">
        <v>0.46400000000000002</v>
      </c>
      <c r="AJ242" s="5">
        <v>0.4</v>
      </c>
      <c r="AK242" s="5" t="s">
        <v>443</v>
      </c>
      <c r="AL242" s="5">
        <v>7.9</v>
      </c>
      <c r="AM242" s="5">
        <v>24.6</v>
      </c>
      <c r="AN242" s="5">
        <v>1.3</v>
      </c>
      <c r="AO242" s="2">
        <v>194.7</v>
      </c>
      <c r="AP242" s="5" t="s">
        <v>443</v>
      </c>
      <c r="AQ242" s="5" t="s">
        <v>443</v>
      </c>
      <c r="AR242" s="2" t="s">
        <v>1370</v>
      </c>
      <c r="AS242" t="s">
        <v>609</v>
      </c>
    </row>
    <row r="243" spans="1:46" x14ac:dyDescent="0.35">
      <c r="A243" t="s">
        <v>137</v>
      </c>
      <c r="B243" t="s">
        <v>978</v>
      </c>
      <c r="C243" t="s">
        <v>1058</v>
      </c>
      <c r="D243" s="2" t="s">
        <v>592</v>
      </c>
      <c r="E243" s="2" t="s">
        <v>1368</v>
      </c>
      <c r="F243" s="2" t="s">
        <v>619</v>
      </c>
      <c r="G243" s="3" t="s">
        <v>443</v>
      </c>
      <c r="H243" s="3" t="s">
        <v>443</v>
      </c>
      <c r="I243" s="3" t="s">
        <v>443</v>
      </c>
      <c r="J243" s="3" t="s">
        <v>443</v>
      </c>
      <c r="K243" s="3" t="s">
        <v>443</v>
      </c>
      <c r="L243" s="3" t="s">
        <v>443</v>
      </c>
      <c r="M243" s="3" t="s">
        <v>443</v>
      </c>
      <c r="N243" s="3" t="s">
        <v>443</v>
      </c>
      <c r="O243" s="5" t="s">
        <v>443</v>
      </c>
      <c r="P243" s="5" t="s">
        <v>443</v>
      </c>
      <c r="Q243" s="5" t="s">
        <v>443</v>
      </c>
      <c r="R243" s="5" t="s">
        <v>443</v>
      </c>
      <c r="S243" s="5" t="s">
        <v>443</v>
      </c>
      <c r="T243" s="5" t="s">
        <v>443</v>
      </c>
      <c r="U243" s="5" t="s">
        <v>443</v>
      </c>
      <c r="V243" s="5" t="s">
        <v>443</v>
      </c>
      <c r="W243" s="5" t="s">
        <v>443</v>
      </c>
      <c r="X243" s="3" t="s">
        <v>443</v>
      </c>
      <c r="Y243" t="s">
        <v>605</v>
      </c>
      <c r="Z243" s="4">
        <v>43327</v>
      </c>
      <c r="AA243" t="s">
        <v>135</v>
      </c>
      <c r="AB243" t="s">
        <v>138</v>
      </c>
      <c r="AC243" t="s">
        <v>609</v>
      </c>
      <c r="AD243" t="s">
        <v>1228</v>
      </c>
      <c r="AE243" t="s">
        <v>1365</v>
      </c>
      <c r="AF243" t="s">
        <v>1376</v>
      </c>
      <c r="AG243" s="6">
        <v>1</v>
      </c>
      <c r="AH243" s="2">
        <v>0.05</v>
      </c>
      <c r="AI243" s="5">
        <v>0.47299999999999998</v>
      </c>
      <c r="AJ243" s="5">
        <v>0.4</v>
      </c>
      <c r="AK243" s="5" t="s">
        <v>443</v>
      </c>
      <c r="AL243" s="5">
        <v>8</v>
      </c>
      <c r="AM243" s="5">
        <v>24.7</v>
      </c>
      <c r="AN243" s="5">
        <v>1.9</v>
      </c>
      <c r="AO243" s="2">
        <v>115</v>
      </c>
      <c r="AP243" s="5" t="s">
        <v>443</v>
      </c>
      <c r="AQ243" s="5" t="s">
        <v>443</v>
      </c>
      <c r="AR243" s="2" t="s">
        <v>1370</v>
      </c>
      <c r="AS243" t="s">
        <v>609</v>
      </c>
    </row>
    <row r="244" spans="1:46" x14ac:dyDescent="0.35">
      <c r="A244" t="s">
        <v>140</v>
      </c>
      <c r="B244" t="s">
        <v>979</v>
      </c>
      <c r="C244" t="s">
        <v>1058</v>
      </c>
      <c r="D244" s="2" t="s">
        <v>592</v>
      </c>
      <c r="E244" s="2" t="s">
        <v>1368</v>
      </c>
      <c r="F244" s="2" t="s">
        <v>619</v>
      </c>
      <c r="G244" s="3" t="s">
        <v>443</v>
      </c>
      <c r="H244" s="3" t="s">
        <v>443</v>
      </c>
      <c r="I244" s="3" t="s">
        <v>443</v>
      </c>
      <c r="J244" s="3" t="s">
        <v>443</v>
      </c>
      <c r="K244" s="3" t="s">
        <v>443</v>
      </c>
      <c r="L244" s="3" t="s">
        <v>443</v>
      </c>
      <c r="M244" s="3" t="s">
        <v>443</v>
      </c>
      <c r="N244" s="3" t="s">
        <v>443</v>
      </c>
      <c r="O244" s="5" t="s">
        <v>443</v>
      </c>
      <c r="P244" s="5" t="s">
        <v>443</v>
      </c>
      <c r="Q244" s="5" t="s">
        <v>443</v>
      </c>
      <c r="R244" s="5" t="s">
        <v>443</v>
      </c>
      <c r="S244" s="5" t="s">
        <v>443</v>
      </c>
      <c r="T244" s="5" t="s">
        <v>443</v>
      </c>
      <c r="U244" s="5" t="s">
        <v>443</v>
      </c>
      <c r="V244" s="5" t="s">
        <v>443</v>
      </c>
      <c r="W244" s="5" t="s">
        <v>443</v>
      </c>
      <c r="X244" s="3" t="s">
        <v>443</v>
      </c>
      <c r="Y244" t="s">
        <v>605</v>
      </c>
      <c r="Z244" s="4">
        <v>43327</v>
      </c>
      <c r="AA244" t="s">
        <v>141</v>
      </c>
      <c r="AB244" t="s">
        <v>142</v>
      </c>
      <c r="AC244" t="s">
        <v>609</v>
      </c>
      <c r="AD244" t="s">
        <v>1230</v>
      </c>
      <c r="AE244" t="s">
        <v>1365</v>
      </c>
      <c r="AF244" t="s">
        <v>1376</v>
      </c>
      <c r="AG244" s="6">
        <v>1.4</v>
      </c>
      <c r="AH244" s="2">
        <v>0.05</v>
      </c>
      <c r="AI244" s="5">
        <v>0.46899999999999997</v>
      </c>
      <c r="AJ244" s="5">
        <v>0.4</v>
      </c>
      <c r="AK244" s="5" t="s">
        <v>443</v>
      </c>
      <c r="AL244" s="5">
        <v>7.7</v>
      </c>
      <c r="AM244" s="5">
        <v>25.5</v>
      </c>
      <c r="AN244" s="5">
        <v>2.8</v>
      </c>
      <c r="AO244" s="2">
        <v>50.4</v>
      </c>
      <c r="AP244" s="5" t="s">
        <v>443</v>
      </c>
      <c r="AQ244" s="5" t="s">
        <v>443</v>
      </c>
      <c r="AR244" s="2" t="s">
        <v>1370</v>
      </c>
      <c r="AS244" t="s">
        <v>609</v>
      </c>
    </row>
    <row r="245" spans="1:46" x14ac:dyDescent="0.35">
      <c r="A245" t="s">
        <v>143</v>
      </c>
      <c r="B245" t="s">
        <v>979</v>
      </c>
      <c r="C245" t="s">
        <v>1057</v>
      </c>
      <c r="D245" s="2" t="s">
        <v>592</v>
      </c>
      <c r="E245" s="2" t="s">
        <v>1368</v>
      </c>
      <c r="F245" s="2" t="s">
        <v>619</v>
      </c>
      <c r="G245" s="3" t="s">
        <v>443</v>
      </c>
      <c r="H245" s="3" t="s">
        <v>443</v>
      </c>
      <c r="I245" s="3" t="s">
        <v>443</v>
      </c>
      <c r="J245" s="3" t="s">
        <v>443</v>
      </c>
      <c r="K245" s="3" t="s">
        <v>443</v>
      </c>
      <c r="L245" s="3" t="s">
        <v>443</v>
      </c>
      <c r="M245" s="3" t="s">
        <v>443</v>
      </c>
      <c r="N245" s="3" t="s">
        <v>443</v>
      </c>
      <c r="O245" s="5" t="s">
        <v>443</v>
      </c>
      <c r="P245" s="5" t="s">
        <v>443</v>
      </c>
      <c r="Q245" s="5" t="s">
        <v>443</v>
      </c>
      <c r="R245" s="5" t="s">
        <v>443</v>
      </c>
      <c r="S245" s="5" t="s">
        <v>443</v>
      </c>
      <c r="T245" s="5" t="s">
        <v>443</v>
      </c>
      <c r="U245" s="5" t="s">
        <v>443</v>
      </c>
      <c r="V245" s="5" t="s">
        <v>443</v>
      </c>
      <c r="W245" s="5" t="s">
        <v>443</v>
      </c>
      <c r="X245" s="3" t="s">
        <v>443</v>
      </c>
      <c r="Y245" t="s">
        <v>605</v>
      </c>
      <c r="Z245" s="4">
        <v>43327</v>
      </c>
      <c r="AA245" t="s">
        <v>141</v>
      </c>
      <c r="AB245" t="s">
        <v>144</v>
      </c>
      <c r="AC245" t="s">
        <v>609</v>
      </c>
      <c r="AD245" t="s">
        <v>1231</v>
      </c>
      <c r="AE245" t="s">
        <v>1365</v>
      </c>
      <c r="AF245" t="s">
        <v>1376</v>
      </c>
      <c r="AG245" s="6">
        <v>2.1</v>
      </c>
      <c r="AH245" s="2">
        <v>0.05</v>
      </c>
      <c r="AI245" s="5">
        <v>0.46</v>
      </c>
      <c r="AJ245" s="5">
        <v>0.4</v>
      </c>
      <c r="AK245" s="5" t="s">
        <v>443</v>
      </c>
      <c r="AL245" s="5">
        <v>7.8</v>
      </c>
      <c r="AM245" s="5">
        <v>25.3</v>
      </c>
      <c r="AN245" s="5">
        <v>1.8</v>
      </c>
      <c r="AO245" s="2">
        <v>28.9</v>
      </c>
      <c r="AP245" s="5" t="s">
        <v>443</v>
      </c>
      <c r="AQ245" s="5" t="s">
        <v>443</v>
      </c>
      <c r="AR245" s="2" t="s">
        <v>1370</v>
      </c>
      <c r="AS245" t="s">
        <v>609</v>
      </c>
    </row>
    <row r="246" spans="1:46" x14ac:dyDescent="0.35">
      <c r="A246" t="s">
        <v>148</v>
      </c>
      <c r="B246" t="s">
        <v>981</v>
      </c>
      <c r="C246" t="s">
        <v>1057</v>
      </c>
      <c r="D246" s="2" t="s">
        <v>592</v>
      </c>
      <c r="E246" s="2" t="s">
        <v>1368</v>
      </c>
      <c r="F246" s="2" t="s">
        <v>619</v>
      </c>
      <c r="G246" s="3" t="s">
        <v>443</v>
      </c>
      <c r="H246" s="3" t="s">
        <v>443</v>
      </c>
      <c r="I246" s="3" t="s">
        <v>443</v>
      </c>
      <c r="J246" s="3" t="s">
        <v>443</v>
      </c>
      <c r="K246" s="3" t="s">
        <v>443</v>
      </c>
      <c r="L246" s="3" t="s">
        <v>443</v>
      </c>
      <c r="M246" s="3" t="s">
        <v>443</v>
      </c>
      <c r="N246" s="3" t="s">
        <v>443</v>
      </c>
      <c r="O246" s="5" t="s">
        <v>443</v>
      </c>
      <c r="P246" s="5" t="s">
        <v>443</v>
      </c>
      <c r="Q246" s="5" t="s">
        <v>443</v>
      </c>
      <c r="R246" s="5" t="s">
        <v>443</v>
      </c>
      <c r="S246" s="5" t="s">
        <v>443</v>
      </c>
      <c r="T246" s="5" t="s">
        <v>443</v>
      </c>
      <c r="U246" s="5" t="s">
        <v>443</v>
      </c>
      <c r="V246" s="5" t="s">
        <v>443</v>
      </c>
      <c r="W246" s="5" t="s">
        <v>443</v>
      </c>
      <c r="X246" s="3" t="s">
        <v>443</v>
      </c>
      <c r="Y246" t="s">
        <v>605</v>
      </c>
      <c r="Z246" s="4">
        <v>43327</v>
      </c>
      <c r="AA246" t="s">
        <v>149</v>
      </c>
      <c r="AB246" t="s">
        <v>150</v>
      </c>
      <c r="AC246" t="s">
        <v>609</v>
      </c>
      <c r="AD246" t="s">
        <v>1233</v>
      </c>
      <c r="AE246" t="s">
        <v>1365</v>
      </c>
      <c r="AF246" t="s">
        <v>1376</v>
      </c>
      <c r="AG246" s="6">
        <v>6</v>
      </c>
      <c r="AH246" s="2">
        <v>0.05</v>
      </c>
      <c r="AI246" s="5">
        <v>0.61799999999999999</v>
      </c>
      <c r="AJ246" s="5">
        <v>0.5</v>
      </c>
      <c r="AK246" s="5" t="s">
        <v>443</v>
      </c>
      <c r="AL246" s="5">
        <v>8.3000000000000007</v>
      </c>
      <c r="AM246" s="5">
        <v>29</v>
      </c>
      <c r="AN246" s="5">
        <v>8.9</v>
      </c>
      <c r="AO246" s="2">
        <v>56.4</v>
      </c>
      <c r="AP246" s="5" t="s">
        <v>443</v>
      </c>
      <c r="AQ246" s="5" t="s">
        <v>443</v>
      </c>
      <c r="AR246" s="2" t="s">
        <v>1370</v>
      </c>
      <c r="AS246" t="s">
        <v>609</v>
      </c>
    </row>
    <row r="247" spans="1:46" x14ac:dyDescent="0.35">
      <c r="A247" t="s">
        <v>151</v>
      </c>
      <c r="B247" t="s">
        <v>981</v>
      </c>
      <c r="C247" t="s">
        <v>1058</v>
      </c>
      <c r="D247" s="2" t="s">
        <v>592</v>
      </c>
      <c r="E247" s="2" t="s">
        <v>1368</v>
      </c>
      <c r="F247" s="2" t="s">
        <v>619</v>
      </c>
      <c r="G247" s="3" t="s">
        <v>443</v>
      </c>
      <c r="H247" s="3" t="s">
        <v>443</v>
      </c>
      <c r="I247" s="3" t="s">
        <v>443</v>
      </c>
      <c r="J247" s="3" t="s">
        <v>443</v>
      </c>
      <c r="K247" s="3" t="s">
        <v>443</v>
      </c>
      <c r="L247" s="3" t="s">
        <v>443</v>
      </c>
      <c r="M247" s="3" t="s">
        <v>443</v>
      </c>
      <c r="N247" s="3" t="s">
        <v>443</v>
      </c>
      <c r="O247" s="5" t="s">
        <v>443</v>
      </c>
      <c r="P247" s="5" t="s">
        <v>443</v>
      </c>
      <c r="Q247" s="5" t="s">
        <v>443</v>
      </c>
      <c r="R247" s="5" t="s">
        <v>443</v>
      </c>
      <c r="S247" s="5" t="s">
        <v>443</v>
      </c>
      <c r="T247" s="5" t="s">
        <v>443</v>
      </c>
      <c r="U247" s="5" t="s">
        <v>443</v>
      </c>
      <c r="V247" s="5" t="s">
        <v>443</v>
      </c>
      <c r="W247" s="5" t="s">
        <v>443</v>
      </c>
      <c r="X247" s="3" t="s">
        <v>443</v>
      </c>
      <c r="Y247" t="s">
        <v>605</v>
      </c>
      <c r="Z247" s="4">
        <v>43327</v>
      </c>
      <c r="AA247" t="s">
        <v>149</v>
      </c>
      <c r="AB247" t="s">
        <v>152</v>
      </c>
      <c r="AC247" t="s">
        <v>609</v>
      </c>
      <c r="AD247" t="s">
        <v>1234</v>
      </c>
      <c r="AE247" t="s">
        <v>1365</v>
      </c>
      <c r="AF247" t="s">
        <v>1376</v>
      </c>
      <c r="AG247" s="6">
        <v>0.48</v>
      </c>
      <c r="AH247" s="2">
        <v>0.05</v>
      </c>
      <c r="AI247" s="5">
        <v>0.62</v>
      </c>
      <c r="AJ247" s="5">
        <v>0.5</v>
      </c>
      <c r="AK247" s="5" t="s">
        <v>443</v>
      </c>
      <c r="AL247" s="5">
        <v>8.5</v>
      </c>
      <c r="AM247" s="5">
        <v>29.3</v>
      </c>
      <c r="AN247" s="5">
        <v>9.1</v>
      </c>
      <c r="AO247" s="2">
        <v>54.7</v>
      </c>
      <c r="AP247" s="5" t="s">
        <v>443</v>
      </c>
      <c r="AQ247" s="5" t="s">
        <v>443</v>
      </c>
      <c r="AR247" s="2" t="s">
        <v>1370</v>
      </c>
      <c r="AS247" t="s">
        <v>609</v>
      </c>
    </row>
    <row r="248" spans="1:46" x14ac:dyDescent="0.35">
      <c r="A248" t="s">
        <v>173</v>
      </c>
      <c r="B248" t="s">
        <v>988</v>
      </c>
      <c r="C248" t="s">
        <v>1059</v>
      </c>
      <c r="D248" s="2" t="s">
        <v>592</v>
      </c>
      <c r="E248" s="2" t="s">
        <v>1368</v>
      </c>
      <c r="F248" s="2" t="s">
        <v>619</v>
      </c>
      <c r="G248" s="3" t="s">
        <v>443</v>
      </c>
      <c r="H248" s="3" t="s">
        <v>443</v>
      </c>
      <c r="I248" s="3" t="s">
        <v>443</v>
      </c>
      <c r="J248" s="3" t="s">
        <v>443</v>
      </c>
      <c r="K248" s="3" t="s">
        <v>443</v>
      </c>
      <c r="L248" s="3" t="s">
        <v>443</v>
      </c>
      <c r="M248" s="3" t="s">
        <v>443</v>
      </c>
      <c r="N248" s="3" t="s">
        <v>443</v>
      </c>
      <c r="O248" s="5" t="s">
        <v>443</v>
      </c>
      <c r="P248" s="5" t="s">
        <v>443</v>
      </c>
      <c r="Q248" s="5" t="s">
        <v>443</v>
      </c>
      <c r="R248" s="5" t="s">
        <v>443</v>
      </c>
      <c r="S248" s="5" t="s">
        <v>443</v>
      </c>
      <c r="T248" s="5" t="s">
        <v>443</v>
      </c>
      <c r="U248" s="5" t="s">
        <v>443</v>
      </c>
      <c r="V248" s="5" t="s">
        <v>443</v>
      </c>
      <c r="W248" s="5" t="s">
        <v>443</v>
      </c>
      <c r="X248" s="3" t="s">
        <v>443</v>
      </c>
      <c r="Y248" t="s">
        <v>605</v>
      </c>
      <c r="Z248" s="4">
        <v>43343</v>
      </c>
      <c r="AA248" t="s">
        <v>174</v>
      </c>
      <c r="AB248" t="s">
        <v>175</v>
      </c>
      <c r="AC248" t="s">
        <v>609</v>
      </c>
      <c r="AD248" t="s">
        <v>1246</v>
      </c>
      <c r="AE248" t="s">
        <v>1365</v>
      </c>
      <c r="AF248" t="s">
        <v>1376</v>
      </c>
      <c r="AG248" s="6">
        <v>1</v>
      </c>
      <c r="AH248" s="2">
        <v>0.05</v>
      </c>
      <c r="AI248" s="5">
        <v>0.46800000000000003</v>
      </c>
      <c r="AJ248" s="5">
        <v>0.4</v>
      </c>
      <c r="AK248" s="5" t="s">
        <v>443</v>
      </c>
      <c r="AL248" s="5">
        <v>7.4</v>
      </c>
      <c r="AM248" s="5">
        <v>28.2</v>
      </c>
      <c r="AN248" s="5">
        <v>2.8</v>
      </c>
      <c r="AO248" s="2">
        <v>17.2</v>
      </c>
      <c r="AP248" s="5" t="s">
        <v>443</v>
      </c>
      <c r="AQ248" s="5" t="s">
        <v>443</v>
      </c>
      <c r="AR248" s="2" t="s">
        <v>1370</v>
      </c>
      <c r="AS248" t="s">
        <v>609</v>
      </c>
      <c r="AT248" t="s">
        <v>956</v>
      </c>
    </row>
    <row r="249" spans="1:46" x14ac:dyDescent="0.35">
      <c r="A249" t="s">
        <v>176</v>
      </c>
      <c r="B249" t="s">
        <v>988</v>
      </c>
      <c r="C249" t="s">
        <v>1057</v>
      </c>
      <c r="D249" s="2" t="s">
        <v>592</v>
      </c>
      <c r="E249" s="2" t="s">
        <v>1368</v>
      </c>
      <c r="F249" s="2" t="s">
        <v>619</v>
      </c>
      <c r="G249" s="3" t="s">
        <v>443</v>
      </c>
      <c r="H249" s="3" t="s">
        <v>443</v>
      </c>
      <c r="I249" s="3" t="s">
        <v>443</v>
      </c>
      <c r="J249" s="3" t="s">
        <v>443</v>
      </c>
      <c r="K249" s="3" t="s">
        <v>443</v>
      </c>
      <c r="L249" s="3" t="s">
        <v>443</v>
      </c>
      <c r="M249" s="3" t="s">
        <v>443</v>
      </c>
      <c r="N249" s="3" t="s">
        <v>443</v>
      </c>
      <c r="O249" s="5" t="s">
        <v>443</v>
      </c>
      <c r="P249" s="5" t="s">
        <v>443</v>
      </c>
      <c r="Q249" s="5" t="s">
        <v>443</v>
      </c>
      <c r="R249" s="5" t="s">
        <v>443</v>
      </c>
      <c r="S249" s="5" t="s">
        <v>443</v>
      </c>
      <c r="T249" s="5" t="s">
        <v>443</v>
      </c>
      <c r="U249" s="5" t="s">
        <v>443</v>
      </c>
      <c r="V249" s="5" t="s">
        <v>443</v>
      </c>
      <c r="W249" s="5" t="s">
        <v>443</v>
      </c>
      <c r="X249" s="3" t="s">
        <v>443</v>
      </c>
      <c r="Y249" t="s">
        <v>605</v>
      </c>
      <c r="Z249" s="4">
        <v>43343</v>
      </c>
      <c r="AA249" t="s">
        <v>174</v>
      </c>
      <c r="AB249" t="s">
        <v>177</v>
      </c>
      <c r="AC249" t="s">
        <v>609</v>
      </c>
      <c r="AD249" t="s">
        <v>1247</v>
      </c>
      <c r="AE249" t="s">
        <v>1365</v>
      </c>
      <c r="AF249" t="s">
        <v>1376</v>
      </c>
      <c r="AG249" s="6">
        <v>1.85</v>
      </c>
      <c r="AH249" s="2">
        <v>0.05</v>
      </c>
      <c r="AI249" s="5">
        <v>0.46300000000000002</v>
      </c>
      <c r="AJ249" s="5">
        <v>0.4</v>
      </c>
      <c r="AK249" s="5" t="s">
        <v>443</v>
      </c>
      <c r="AL249" s="5">
        <v>8.1999999999999993</v>
      </c>
      <c r="AM249" s="5">
        <v>27.5</v>
      </c>
      <c r="AN249" s="5">
        <v>7.1</v>
      </c>
      <c r="AO249" s="2">
        <v>31.1</v>
      </c>
      <c r="AP249" s="5" t="s">
        <v>443</v>
      </c>
      <c r="AQ249" s="5" t="s">
        <v>443</v>
      </c>
      <c r="AR249" s="2" t="s">
        <v>1370</v>
      </c>
      <c r="AS249" t="s">
        <v>609</v>
      </c>
    </row>
    <row r="250" spans="1:46" x14ac:dyDescent="0.35">
      <c r="A250" t="s">
        <v>178</v>
      </c>
      <c r="B250" t="s">
        <v>988</v>
      </c>
      <c r="C250" t="s">
        <v>1058</v>
      </c>
      <c r="D250" s="2" t="s">
        <v>592</v>
      </c>
      <c r="E250" s="2" t="s">
        <v>1368</v>
      </c>
      <c r="F250" s="2" t="s">
        <v>619</v>
      </c>
      <c r="G250" s="3" t="s">
        <v>443</v>
      </c>
      <c r="H250" s="3" t="s">
        <v>443</v>
      </c>
      <c r="I250" s="3" t="s">
        <v>443</v>
      </c>
      <c r="J250" s="3" t="s">
        <v>443</v>
      </c>
      <c r="K250" s="3" t="s">
        <v>443</v>
      </c>
      <c r="L250" s="3" t="s">
        <v>443</v>
      </c>
      <c r="M250" s="3" t="s">
        <v>443</v>
      </c>
      <c r="N250" s="3" t="s">
        <v>443</v>
      </c>
      <c r="O250" s="5" t="s">
        <v>443</v>
      </c>
      <c r="P250" s="5" t="s">
        <v>443</v>
      </c>
      <c r="Q250" s="5" t="s">
        <v>443</v>
      </c>
      <c r="R250" s="5" t="s">
        <v>443</v>
      </c>
      <c r="S250" s="5" t="s">
        <v>443</v>
      </c>
      <c r="T250" s="5" t="s">
        <v>443</v>
      </c>
      <c r="U250" s="5" t="s">
        <v>443</v>
      </c>
      <c r="V250" s="5" t="s">
        <v>443</v>
      </c>
      <c r="W250" s="5" t="s">
        <v>443</v>
      </c>
      <c r="X250" s="3" t="s">
        <v>443</v>
      </c>
      <c r="Y250" t="s">
        <v>605</v>
      </c>
      <c r="Z250" s="4">
        <v>43343</v>
      </c>
      <c r="AA250" t="s">
        <v>174</v>
      </c>
      <c r="AB250" t="s">
        <v>179</v>
      </c>
      <c r="AC250" t="s">
        <v>609</v>
      </c>
      <c r="AD250" t="s">
        <v>1248</v>
      </c>
      <c r="AE250" t="s">
        <v>1365</v>
      </c>
      <c r="AF250" t="s">
        <v>1376</v>
      </c>
      <c r="AG250" s="6">
        <v>1</v>
      </c>
      <c r="AH250" s="2">
        <v>0.05</v>
      </c>
      <c r="AI250" s="5">
        <v>0.45200000000000001</v>
      </c>
      <c r="AJ250" s="5">
        <v>0.4</v>
      </c>
      <c r="AK250" s="5" t="s">
        <v>443</v>
      </c>
      <c r="AL250" s="5">
        <v>7.8</v>
      </c>
      <c r="AM250" s="5">
        <v>28.4</v>
      </c>
      <c r="AN250" s="5">
        <v>4.2</v>
      </c>
      <c r="AO250" s="2">
        <v>22.3</v>
      </c>
      <c r="AP250" s="5" t="s">
        <v>443</v>
      </c>
      <c r="AQ250" s="5" t="s">
        <v>443</v>
      </c>
      <c r="AR250" s="2" t="s">
        <v>1370</v>
      </c>
      <c r="AS250" t="s">
        <v>609</v>
      </c>
    </row>
    <row r="251" spans="1:46" x14ac:dyDescent="0.35">
      <c r="A251" t="s">
        <v>506</v>
      </c>
      <c r="B251" t="s">
        <v>508</v>
      </c>
      <c r="C251" t="s">
        <v>1036</v>
      </c>
      <c r="D251" s="2" t="s">
        <v>594</v>
      </c>
      <c r="E251" s="2" t="s">
        <v>507</v>
      </c>
      <c r="F251" s="2" t="s">
        <v>717</v>
      </c>
      <c r="G251" s="3" t="s">
        <v>443</v>
      </c>
      <c r="H251" s="3" t="s">
        <v>443</v>
      </c>
      <c r="I251" s="3" t="s">
        <v>443</v>
      </c>
      <c r="J251" s="3" t="s">
        <v>443</v>
      </c>
      <c r="K251" s="3" t="s">
        <v>443</v>
      </c>
      <c r="L251" s="3" t="s">
        <v>443</v>
      </c>
      <c r="M251" s="3" t="s">
        <v>443</v>
      </c>
      <c r="N251" s="3" t="s">
        <v>443</v>
      </c>
      <c r="O251" s="3" t="s">
        <v>443</v>
      </c>
      <c r="P251" s="3" t="s">
        <v>443</v>
      </c>
      <c r="Q251" s="3" t="s">
        <v>443</v>
      </c>
      <c r="R251" s="3" t="s">
        <v>443</v>
      </c>
      <c r="S251" s="3" t="s">
        <v>443</v>
      </c>
      <c r="T251" s="3" t="s">
        <v>443</v>
      </c>
      <c r="U251" s="3" t="s">
        <v>443</v>
      </c>
      <c r="V251" s="3" t="s">
        <v>443</v>
      </c>
      <c r="W251" s="3" t="s">
        <v>443</v>
      </c>
      <c r="X251" s="3" t="s">
        <v>443</v>
      </c>
      <c r="Y251" s="3" t="s">
        <v>443</v>
      </c>
      <c r="Z251" s="4">
        <v>43344</v>
      </c>
      <c r="AA251" t="s">
        <v>447</v>
      </c>
      <c r="AB251" t="s">
        <v>443</v>
      </c>
      <c r="AC251" t="s">
        <v>609</v>
      </c>
      <c r="AD251" t="s">
        <v>1184</v>
      </c>
      <c r="AE251" t="s">
        <v>1365</v>
      </c>
      <c r="AF251" t="s">
        <v>1376</v>
      </c>
      <c r="AG251" t="s">
        <v>443</v>
      </c>
      <c r="AH251" t="s">
        <v>443</v>
      </c>
      <c r="AI251" t="s">
        <v>443</v>
      </c>
      <c r="AJ251" t="s">
        <v>443</v>
      </c>
      <c r="AK251" s="5">
        <v>1.2</v>
      </c>
      <c r="AL251" s="5">
        <v>8.6999999999999993</v>
      </c>
      <c r="AM251" t="s">
        <v>443</v>
      </c>
      <c r="AN251" t="s">
        <v>443</v>
      </c>
      <c r="AO251" t="s">
        <v>443</v>
      </c>
      <c r="AP251" t="s">
        <v>443</v>
      </c>
      <c r="AQ251" t="s">
        <v>443</v>
      </c>
      <c r="AR251" s="2" t="s">
        <v>1370</v>
      </c>
      <c r="AS251" t="s">
        <v>609</v>
      </c>
    </row>
    <row r="252" spans="1:46" x14ac:dyDescent="0.35">
      <c r="A252" t="s">
        <v>509</v>
      </c>
      <c r="B252" t="s">
        <v>510</v>
      </c>
      <c r="C252" t="s">
        <v>1036</v>
      </c>
      <c r="D252" s="2" t="s">
        <v>594</v>
      </c>
      <c r="E252" s="2" t="s">
        <v>507</v>
      </c>
      <c r="F252" s="2" t="s">
        <v>717</v>
      </c>
      <c r="G252" s="3" t="s">
        <v>443</v>
      </c>
      <c r="H252" s="3" t="s">
        <v>443</v>
      </c>
      <c r="I252" s="3" t="s">
        <v>443</v>
      </c>
      <c r="J252" s="3" t="s">
        <v>443</v>
      </c>
      <c r="K252" s="3" t="s">
        <v>443</v>
      </c>
      <c r="L252" s="3" t="s">
        <v>443</v>
      </c>
      <c r="M252" s="3" t="s">
        <v>443</v>
      </c>
      <c r="N252" s="3" t="s">
        <v>443</v>
      </c>
      <c r="O252" s="3" t="s">
        <v>443</v>
      </c>
      <c r="P252" s="3" t="s">
        <v>443</v>
      </c>
      <c r="Q252" s="3" t="s">
        <v>443</v>
      </c>
      <c r="R252" s="3" t="s">
        <v>443</v>
      </c>
      <c r="S252" s="3" t="s">
        <v>443</v>
      </c>
      <c r="T252" s="3" t="s">
        <v>443</v>
      </c>
      <c r="U252" s="3" t="s">
        <v>443</v>
      </c>
      <c r="V252" s="3" t="s">
        <v>443</v>
      </c>
      <c r="W252" s="3" t="s">
        <v>443</v>
      </c>
      <c r="X252" s="3" t="s">
        <v>443</v>
      </c>
      <c r="Y252" s="3" t="s">
        <v>443</v>
      </c>
      <c r="Z252" s="4">
        <v>43344</v>
      </c>
      <c r="AA252" t="s">
        <v>447</v>
      </c>
      <c r="AB252" t="s">
        <v>443</v>
      </c>
      <c r="AC252" t="s">
        <v>609</v>
      </c>
      <c r="AD252" t="s">
        <v>1185</v>
      </c>
      <c r="AE252" t="s">
        <v>1365</v>
      </c>
      <c r="AF252" t="s">
        <v>1376</v>
      </c>
      <c r="AG252" t="s">
        <v>443</v>
      </c>
      <c r="AH252" t="s">
        <v>443</v>
      </c>
      <c r="AI252" t="s">
        <v>443</v>
      </c>
      <c r="AJ252" t="s">
        <v>443</v>
      </c>
      <c r="AK252" s="5">
        <v>2.4</v>
      </c>
      <c r="AL252" s="5">
        <v>8.6</v>
      </c>
      <c r="AM252" t="s">
        <v>443</v>
      </c>
      <c r="AN252" t="s">
        <v>443</v>
      </c>
      <c r="AO252" t="s">
        <v>443</v>
      </c>
      <c r="AP252" t="s">
        <v>443</v>
      </c>
      <c r="AQ252" t="s">
        <v>443</v>
      </c>
      <c r="AR252" s="2" t="s">
        <v>1370</v>
      </c>
      <c r="AS252" t="s">
        <v>609</v>
      </c>
    </row>
    <row r="253" spans="1:46" x14ac:dyDescent="0.35">
      <c r="A253" t="s">
        <v>511</v>
      </c>
      <c r="B253" t="s">
        <v>512</v>
      </c>
      <c r="C253" t="s">
        <v>1036</v>
      </c>
      <c r="D253" s="2" t="s">
        <v>594</v>
      </c>
      <c r="E253" s="2" t="s">
        <v>507</v>
      </c>
      <c r="F253" s="2" t="s">
        <v>717</v>
      </c>
      <c r="G253" s="3" t="s">
        <v>443</v>
      </c>
      <c r="H253" s="3" t="s">
        <v>443</v>
      </c>
      <c r="I253" s="3" t="s">
        <v>443</v>
      </c>
      <c r="J253" s="3" t="s">
        <v>443</v>
      </c>
      <c r="K253" s="3" t="s">
        <v>443</v>
      </c>
      <c r="L253" s="3" t="s">
        <v>443</v>
      </c>
      <c r="M253" s="3" t="s">
        <v>443</v>
      </c>
      <c r="N253" s="3" t="s">
        <v>443</v>
      </c>
      <c r="O253" s="3" t="s">
        <v>443</v>
      </c>
      <c r="P253" s="3" t="s">
        <v>443</v>
      </c>
      <c r="Q253" s="3" t="s">
        <v>443</v>
      </c>
      <c r="R253" s="3" t="s">
        <v>443</v>
      </c>
      <c r="S253" s="3" t="s">
        <v>443</v>
      </c>
      <c r="T253" s="3" t="s">
        <v>443</v>
      </c>
      <c r="U253" s="3" t="s">
        <v>443</v>
      </c>
      <c r="V253" s="3" t="s">
        <v>443</v>
      </c>
      <c r="W253" s="3" t="s">
        <v>443</v>
      </c>
      <c r="X253" s="3" t="s">
        <v>443</v>
      </c>
      <c r="Y253" s="3" t="s">
        <v>443</v>
      </c>
      <c r="Z253" s="4">
        <v>43344</v>
      </c>
      <c r="AA253" t="s">
        <v>447</v>
      </c>
      <c r="AB253" t="s">
        <v>443</v>
      </c>
      <c r="AC253" t="s">
        <v>609</v>
      </c>
      <c r="AD253" t="s">
        <v>1186</v>
      </c>
      <c r="AE253" t="s">
        <v>1365</v>
      </c>
      <c r="AF253" t="s">
        <v>1376</v>
      </c>
      <c r="AG253" t="s">
        <v>443</v>
      </c>
      <c r="AH253" t="s">
        <v>443</v>
      </c>
      <c r="AI253" t="s">
        <v>443</v>
      </c>
      <c r="AJ253" t="s">
        <v>443</v>
      </c>
      <c r="AK253" s="5">
        <v>2.1</v>
      </c>
      <c r="AL253" s="5">
        <v>8.6</v>
      </c>
      <c r="AM253" t="s">
        <v>443</v>
      </c>
      <c r="AN253" t="s">
        <v>443</v>
      </c>
      <c r="AO253" t="s">
        <v>443</v>
      </c>
      <c r="AP253" t="s">
        <v>443</v>
      </c>
      <c r="AQ253" t="s">
        <v>443</v>
      </c>
      <c r="AR253" s="2" t="s">
        <v>1370</v>
      </c>
      <c r="AS253" t="s">
        <v>609</v>
      </c>
    </row>
    <row r="254" spans="1:46" x14ac:dyDescent="0.35">
      <c r="A254" t="s">
        <v>513</v>
      </c>
      <c r="B254" t="s">
        <v>514</v>
      </c>
      <c r="C254" t="s">
        <v>1036</v>
      </c>
      <c r="D254" s="2" t="s">
        <v>594</v>
      </c>
      <c r="E254" s="2" t="s">
        <v>507</v>
      </c>
      <c r="F254" s="2" t="s">
        <v>717</v>
      </c>
      <c r="G254" s="3" t="s">
        <v>443</v>
      </c>
      <c r="H254" s="3" t="s">
        <v>443</v>
      </c>
      <c r="I254" s="3" t="s">
        <v>443</v>
      </c>
      <c r="J254" s="3" t="s">
        <v>443</v>
      </c>
      <c r="K254" s="3" t="s">
        <v>443</v>
      </c>
      <c r="L254" s="3" t="s">
        <v>443</v>
      </c>
      <c r="M254" s="3" t="s">
        <v>443</v>
      </c>
      <c r="N254" s="3" t="s">
        <v>443</v>
      </c>
      <c r="O254" s="3" t="s">
        <v>443</v>
      </c>
      <c r="P254" s="3" t="s">
        <v>443</v>
      </c>
      <c r="Q254" s="3" t="s">
        <v>443</v>
      </c>
      <c r="R254" s="3" t="s">
        <v>443</v>
      </c>
      <c r="S254" s="3" t="s">
        <v>443</v>
      </c>
      <c r="T254" s="3" t="s">
        <v>443</v>
      </c>
      <c r="U254" s="3" t="s">
        <v>443</v>
      </c>
      <c r="V254" s="3" t="s">
        <v>443</v>
      </c>
      <c r="W254" s="3" t="s">
        <v>443</v>
      </c>
      <c r="X254" s="3" t="s">
        <v>443</v>
      </c>
      <c r="Y254" s="3" t="s">
        <v>443</v>
      </c>
      <c r="Z254" s="4">
        <v>43344</v>
      </c>
      <c r="AA254" t="s">
        <v>447</v>
      </c>
      <c r="AB254" t="s">
        <v>443</v>
      </c>
      <c r="AC254" t="s">
        <v>609</v>
      </c>
      <c r="AD254" t="s">
        <v>1187</v>
      </c>
      <c r="AE254" t="s">
        <v>1365</v>
      </c>
      <c r="AF254" t="s">
        <v>1376</v>
      </c>
      <c r="AG254" t="s">
        <v>443</v>
      </c>
      <c r="AH254" t="s">
        <v>443</v>
      </c>
      <c r="AI254" t="s">
        <v>443</v>
      </c>
      <c r="AJ254" t="s">
        <v>443</v>
      </c>
      <c r="AK254" s="5">
        <v>1.2</v>
      </c>
      <c r="AL254" s="5">
        <v>8.6</v>
      </c>
      <c r="AM254" t="s">
        <v>443</v>
      </c>
      <c r="AN254" t="s">
        <v>443</v>
      </c>
      <c r="AO254" t="s">
        <v>443</v>
      </c>
      <c r="AP254" t="s">
        <v>443</v>
      </c>
      <c r="AQ254" t="s">
        <v>443</v>
      </c>
      <c r="AR254" s="2" t="s">
        <v>1370</v>
      </c>
      <c r="AS254" t="s">
        <v>609</v>
      </c>
    </row>
    <row r="255" spans="1:46" ht="14.25" customHeight="1" x14ac:dyDescent="0.35">
      <c r="A255" t="s">
        <v>515</v>
      </c>
      <c r="B255" t="s">
        <v>516</v>
      </c>
      <c r="C255" t="s">
        <v>1036</v>
      </c>
      <c r="D255" s="2" t="s">
        <v>594</v>
      </c>
      <c r="E255" s="2" t="s">
        <v>507</v>
      </c>
      <c r="F255" s="2" t="s">
        <v>717</v>
      </c>
      <c r="G255" s="3" t="s">
        <v>443</v>
      </c>
      <c r="H255" s="3" t="s">
        <v>443</v>
      </c>
      <c r="I255" s="3" t="s">
        <v>443</v>
      </c>
      <c r="J255" s="3" t="s">
        <v>443</v>
      </c>
      <c r="K255" s="3" t="s">
        <v>443</v>
      </c>
      <c r="L255" s="3" t="s">
        <v>443</v>
      </c>
      <c r="M255" s="3" t="s">
        <v>443</v>
      </c>
      <c r="N255" s="3" t="s">
        <v>443</v>
      </c>
      <c r="O255" s="3" t="s">
        <v>443</v>
      </c>
      <c r="P255" s="3" t="s">
        <v>443</v>
      </c>
      <c r="Q255" s="3" t="s">
        <v>443</v>
      </c>
      <c r="R255" s="3" t="s">
        <v>443</v>
      </c>
      <c r="S255" s="3" t="s">
        <v>443</v>
      </c>
      <c r="T255" s="3" t="s">
        <v>443</v>
      </c>
      <c r="U255" s="3" t="s">
        <v>443</v>
      </c>
      <c r="V255" s="3" t="s">
        <v>443</v>
      </c>
      <c r="W255" s="3" t="s">
        <v>443</v>
      </c>
      <c r="X255" s="3" t="s">
        <v>443</v>
      </c>
      <c r="Y255" s="3" t="s">
        <v>443</v>
      </c>
      <c r="Z255" s="4">
        <v>43344</v>
      </c>
      <c r="AA255" t="s">
        <v>447</v>
      </c>
      <c r="AB255" t="s">
        <v>443</v>
      </c>
      <c r="AC255" t="s">
        <v>609</v>
      </c>
      <c r="AD255" t="s">
        <v>1188</v>
      </c>
      <c r="AE255" t="s">
        <v>1365</v>
      </c>
      <c r="AF255" t="s">
        <v>1376</v>
      </c>
      <c r="AG255" t="s">
        <v>443</v>
      </c>
      <c r="AH255" t="s">
        <v>443</v>
      </c>
      <c r="AI255" t="s">
        <v>443</v>
      </c>
      <c r="AJ255" t="s">
        <v>443</v>
      </c>
      <c r="AK255" s="5">
        <v>1.2</v>
      </c>
      <c r="AL255" s="5">
        <v>8.5</v>
      </c>
      <c r="AM255" t="s">
        <v>443</v>
      </c>
      <c r="AN255" t="s">
        <v>443</v>
      </c>
      <c r="AO255" t="s">
        <v>443</v>
      </c>
      <c r="AP255" t="s">
        <v>443</v>
      </c>
      <c r="AQ255" t="s">
        <v>443</v>
      </c>
      <c r="AR255" s="2" t="s">
        <v>1370</v>
      </c>
      <c r="AS255" t="s">
        <v>609</v>
      </c>
    </row>
    <row r="256" spans="1:46" x14ac:dyDescent="0.35">
      <c r="A256" t="s">
        <v>517</v>
      </c>
      <c r="B256" t="s">
        <v>518</v>
      </c>
      <c r="C256" t="s">
        <v>1037</v>
      </c>
      <c r="D256" s="2" t="s">
        <v>594</v>
      </c>
      <c r="E256" s="2" t="s">
        <v>507</v>
      </c>
      <c r="F256" s="2" t="s">
        <v>619</v>
      </c>
      <c r="G256" s="3" t="s">
        <v>443</v>
      </c>
      <c r="H256" s="3" t="s">
        <v>443</v>
      </c>
      <c r="I256" s="3" t="s">
        <v>443</v>
      </c>
      <c r="J256" s="3" t="s">
        <v>443</v>
      </c>
      <c r="K256" s="3" t="s">
        <v>443</v>
      </c>
      <c r="L256" s="3" t="s">
        <v>443</v>
      </c>
      <c r="M256" s="3" t="s">
        <v>443</v>
      </c>
      <c r="N256" s="3" t="s">
        <v>443</v>
      </c>
      <c r="O256" s="3" t="s">
        <v>443</v>
      </c>
      <c r="P256" s="3" t="s">
        <v>443</v>
      </c>
      <c r="Q256" s="3" t="s">
        <v>443</v>
      </c>
      <c r="R256" s="3" t="s">
        <v>443</v>
      </c>
      <c r="S256" s="3" t="s">
        <v>443</v>
      </c>
      <c r="T256" s="3" t="s">
        <v>443</v>
      </c>
      <c r="U256" s="3" t="s">
        <v>443</v>
      </c>
      <c r="V256" s="3" t="s">
        <v>443</v>
      </c>
      <c r="W256" s="3" t="s">
        <v>443</v>
      </c>
      <c r="X256" s="3" t="s">
        <v>443</v>
      </c>
      <c r="Y256" s="3" t="s">
        <v>443</v>
      </c>
      <c r="Z256" s="4">
        <v>43344</v>
      </c>
      <c r="AA256" t="s">
        <v>447</v>
      </c>
      <c r="AB256" t="s">
        <v>443</v>
      </c>
      <c r="AC256" t="s">
        <v>609</v>
      </c>
      <c r="AD256" t="s">
        <v>1189</v>
      </c>
      <c r="AE256" t="s">
        <v>1365</v>
      </c>
      <c r="AF256" t="s">
        <v>1376</v>
      </c>
      <c r="AG256" t="s">
        <v>443</v>
      </c>
      <c r="AH256" t="s">
        <v>443</v>
      </c>
      <c r="AI256" t="s">
        <v>443</v>
      </c>
      <c r="AJ256" t="s">
        <v>443</v>
      </c>
      <c r="AK256" s="5">
        <v>0.2</v>
      </c>
      <c r="AL256" s="5">
        <v>7</v>
      </c>
      <c r="AM256" t="s">
        <v>443</v>
      </c>
      <c r="AN256" t="s">
        <v>443</v>
      </c>
      <c r="AO256" t="s">
        <v>443</v>
      </c>
      <c r="AP256" t="s">
        <v>443</v>
      </c>
      <c r="AQ256" t="s">
        <v>443</v>
      </c>
      <c r="AR256" s="2" t="s">
        <v>1370</v>
      </c>
      <c r="AS256" t="s">
        <v>609</v>
      </c>
    </row>
    <row r="257" spans="1:45" x14ac:dyDescent="0.35">
      <c r="A257" t="s">
        <v>519</v>
      </c>
      <c r="B257" t="s">
        <v>520</v>
      </c>
      <c r="C257" t="s">
        <v>1036</v>
      </c>
      <c r="D257" s="2" t="s">
        <v>594</v>
      </c>
      <c r="E257" s="2" t="s">
        <v>507</v>
      </c>
      <c r="F257" s="2" t="s">
        <v>717</v>
      </c>
      <c r="G257" s="3" t="s">
        <v>443</v>
      </c>
      <c r="H257" s="3" t="s">
        <v>443</v>
      </c>
      <c r="I257" s="3" t="s">
        <v>443</v>
      </c>
      <c r="J257" s="3" t="s">
        <v>443</v>
      </c>
      <c r="K257" s="3" t="s">
        <v>443</v>
      </c>
      <c r="L257" s="3" t="s">
        <v>443</v>
      </c>
      <c r="M257" s="3" t="s">
        <v>443</v>
      </c>
      <c r="N257" s="3" t="s">
        <v>443</v>
      </c>
      <c r="O257" s="3" t="s">
        <v>443</v>
      </c>
      <c r="P257" s="3" t="s">
        <v>443</v>
      </c>
      <c r="Q257" s="3" t="s">
        <v>443</v>
      </c>
      <c r="R257" s="3" t="s">
        <v>443</v>
      </c>
      <c r="S257" s="3" t="s">
        <v>443</v>
      </c>
      <c r="T257" s="3" t="s">
        <v>443</v>
      </c>
      <c r="U257" s="3" t="s">
        <v>443</v>
      </c>
      <c r="V257" s="3" t="s">
        <v>443</v>
      </c>
      <c r="W257" s="3" t="s">
        <v>443</v>
      </c>
      <c r="X257" s="3" t="s">
        <v>443</v>
      </c>
      <c r="Y257" s="3" t="s">
        <v>443</v>
      </c>
      <c r="Z257" s="4">
        <v>43344</v>
      </c>
      <c r="AA257" t="s">
        <v>447</v>
      </c>
      <c r="AB257" t="s">
        <v>443</v>
      </c>
      <c r="AC257" t="s">
        <v>609</v>
      </c>
      <c r="AD257" t="s">
        <v>1190</v>
      </c>
      <c r="AE257" t="s">
        <v>1365</v>
      </c>
      <c r="AF257" t="s">
        <v>1376</v>
      </c>
      <c r="AG257" t="s">
        <v>443</v>
      </c>
      <c r="AH257" t="s">
        <v>443</v>
      </c>
      <c r="AI257" t="s">
        <v>443</v>
      </c>
      <c r="AJ257" t="s">
        <v>443</v>
      </c>
      <c r="AK257" s="5">
        <v>3.3</v>
      </c>
      <c r="AL257" s="5">
        <v>8.4</v>
      </c>
      <c r="AM257" t="s">
        <v>443</v>
      </c>
      <c r="AN257" t="s">
        <v>443</v>
      </c>
      <c r="AO257" t="s">
        <v>443</v>
      </c>
      <c r="AP257" t="s">
        <v>443</v>
      </c>
      <c r="AQ257" t="s">
        <v>443</v>
      </c>
      <c r="AR257" s="2" t="s">
        <v>1370</v>
      </c>
      <c r="AS257" t="s">
        <v>609</v>
      </c>
    </row>
    <row r="258" spans="1:45" x14ac:dyDescent="0.35">
      <c r="A258" t="s">
        <v>526</v>
      </c>
      <c r="B258" t="s">
        <v>1046</v>
      </c>
      <c r="C258" t="s">
        <v>1036</v>
      </c>
      <c r="D258" s="2" t="s">
        <v>594</v>
      </c>
      <c r="E258" s="2" t="s">
        <v>522</v>
      </c>
      <c r="F258" s="2" t="s">
        <v>717</v>
      </c>
      <c r="G258" s="3">
        <v>19560</v>
      </c>
      <c r="H258" s="3">
        <v>46.4</v>
      </c>
      <c r="I258" s="3">
        <v>116</v>
      </c>
      <c r="J258" s="3">
        <v>622</v>
      </c>
      <c r="K258" s="3">
        <v>18193</v>
      </c>
      <c r="L258" s="3">
        <v>19334</v>
      </c>
      <c r="M258" s="3">
        <v>67.099999999999994</v>
      </c>
      <c r="N258" s="3">
        <v>228</v>
      </c>
      <c r="O258" s="5">
        <v>93.6</v>
      </c>
      <c r="P258" s="5">
        <v>0.1</v>
      </c>
      <c r="Q258" s="5">
        <v>0.6</v>
      </c>
      <c r="R258" s="5">
        <v>5.6</v>
      </c>
      <c r="S258" s="5">
        <v>55.5</v>
      </c>
      <c r="T258" s="5">
        <v>43.5</v>
      </c>
      <c r="U258" s="5">
        <v>0.1</v>
      </c>
      <c r="V258" s="5">
        <v>0.8</v>
      </c>
      <c r="W258" s="5">
        <f t="shared" ref="W258:W289" si="9">SUM(U258:V258)</f>
        <v>0.9</v>
      </c>
      <c r="X258" s="3">
        <v>-0.84368115334743776</v>
      </c>
      <c r="Y258" t="s">
        <v>609</v>
      </c>
      <c r="Z258" s="4">
        <v>43599</v>
      </c>
      <c r="AA258" t="s">
        <v>524</v>
      </c>
      <c r="AB258" t="s">
        <v>527</v>
      </c>
      <c r="AC258" t="s">
        <v>609</v>
      </c>
      <c r="AD258" t="s">
        <v>1192</v>
      </c>
      <c r="AE258" t="s">
        <v>1365</v>
      </c>
      <c r="AF258" t="s">
        <v>1376</v>
      </c>
      <c r="AG258" s="6">
        <v>0.2</v>
      </c>
      <c r="AH258" s="2">
        <v>0.05</v>
      </c>
      <c r="AI258" s="5">
        <v>78</v>
      </c>
      <c r="AJ258" s="5" t="s">
        <v>443</v>
      </c>
      <c r="AK258" s="5">
        <v>58.2</v>
      </c>
      <c r="AL258" s="5">
        <v>9.41</v>
      </c>
      <c r="AM258" s="5">
        <v>22.4</v>
      </c>
      <c r="AN258" s="5" t="s">
        <v>443</v>
      </c>
      <c r="AO258" s="5" t="s">
        <v>443</v>
      </c>
      <c r="AP258" s="5" t="s">
        <v>443</v>
      </c>
      <c r="AQ258" s="5" t="s">
        <v>443</v>
      </c>
      <c r="AR258" s="2" t="s">
        <v>1370</v>
      </c>
      <c r="AS258" t="s">
        <v>609</v>
      </c>
    </row>
    <row r="259" spans="1:45" x14ac:dyDescent="0.35">
      <c r="A259" t="s">
        <v>528</v>
      </c>
      <c r="B259" t="s">
        <v>529</v>
      </c>
      <c r="C259" t="s">
        <v>1036</v>
      </c>
      <c r="D259" s="2" t="s">
        <v>594</v>
      </c>
      <c r="E259" s="2" t="s">
        <v>522</v>
      </c>
      <c r="F259" s="2" t="s">
        <v>717</v>
      </c>
      <c r="G259" s="3">
        <v>3238</v>
      </c>
      <c r="H259" s="3">
        <v>27.5</v>
      </c>
      <c r="I259" s="3">
        <v>28</v>
      </c>
      <c r="J259" s="3">
        <v>102</v>
      </c>
      <c r="K259" s="3">
        <v>3527</v>
      </c>
      <c r="L259" s="3">
        <v>907</v>
      </c>
      <c r="M259" s="3">
        <v>1635</v>
      </c>
      <c r="N259" s="3">
        <v>138</v>
      </c>
      <c r="O259" s="5">
        <v>93.1</v>
      </c>
      <c r="P259" s="5">
        <v>0.5</v>
      </c>
      <c r="Q259" s="5">
        <v>0.9</v>
      </c>
      <c r="R259" s="5">
        <v>5.5</v>
      </c>
      <c r="S259" s="5">
        <v>66.400000000000006</v>
      </c>
      <c r="T259" s="5">
        <v>12.6</v>
      </c>
      <c r="U259" s="5">
        <v>17.899999999999999</v>
      </c>
      <c r="V259" s="5">
        <v>3.1</v>
      </c>
      <c r="W259" s="5">
        <f t="shared" si="9"/>
        <v>21</v>
      </c>
      <c r="X259" s="3">
        <v>0.52096217104829534</v>
      </c>
      <c r="Y259" t="s">
        <v>609</v>
      </c>
      <c r="Z259" s="4">
        <v>43600</v>
      </c>
      <c r="AA259" t="s">
        <v>524</v>
      </c>
      <c r="AB259" t="s">
        <v>530</v>
      </c>
      <c r="AC259" t="s">
        <v>609</v>
      </c>
      <c r="AD259" t="s">
        <v>1193</v>
      </c>
      <c r="AE259" t="s">
        <v>1365</v>
      </c>
      <c r="AF259" t="s">
        <v>1376</v>
      </c>
      <c r="AG259" s="6">
        <v>0.3</v>
      </c>
      <c r="AH259" s="2">
        <v>0.05</v>
      </c>
      <c r="AI259" s="7">
        <v>14.3</v>
      </c>
      <c r="AJ259" s="5" t="s">
        <v>443</v>
      </c>
      <c r="AK259" s="5">
        <v>9.6</v>
      </c>
      <c r="AL259" s="5">
        <v>8.86</v>
      </c>
      <c r="AM259" s="5">
        <v>23</v>
      </c>
      <c r="AN259" s="5">
        <v>9</v>
      </c>
      <c r="AO259" s="5" t="s">
        <v>443</v>
      </c>
      <c r="AP259" s="5" t="s">
        <v>443</v>
      </c>
      <c r="AQ259" s="5" t="s">
        <v>443</v>
      </c>
      <c r="AR259" s="2" t="s">
        <v>1370</v>
      </c>
      <c r="AS259" t="s">
        <v>609</v>
      </c>
    </row>
    <row r="260" spans="1:45" x14ac:dyDescent="0.35">
      <c r="A260" t="s">
        <v>531</v>
      </c>
      <c r="B260" t="s">
        <v>529</v>
      </c>
      <c r="C260" t="s">
        <v>1036</v>
      </c>
      <c r="D260" s="2" t="s">
        <v>594</v>
      </c>
      <c r="E260" s="2" t="s">
        <v>522</v>
      </c>
      <c r="F260" s="2" t="s">
        <v>717</v>
      </c>
      <c r="G260" s="3">
        <v>15125</v>
      </c>
      <c r="H260" s="3">
        <v>102</v>
      </c>
      <c r="I260" s="3">
        <v>80</v>
      </c>
      <c r="J260" s="3">
        <v>770</v>
      </c>
      <c r="K260" s="3">
        <v>17519</v>
      </c>
      <c r="L260" s="3">
        <v>10583</v>
      </c>
      <c r="M260" s="3">
        <v>1006</v>
      </c>
      <c r="N260" s="3">
        <v>324</v>
      </c>
      <c r="O260" s="5">
        <v>90.4</v>
      </c>
      <c r="P260" s="5">
        <v>0.4</v>
      </c>
      <c r="Q260" s="5">
        <v>0.5</v>
      </c>
      <c r="R260" s="5">
        <v>8.6999999999999993</v>
      </c>
      <c r="S260" s="5">
        <v>66.599999999999994</v>
      </c>
      <c r="T260" s="5">
        <v>29.7</v>
      </c>
      <c r="U260" s="5">
        <v>2.2000000000000002</v>
      </c>
      <c r="V260" s="5">
        <v>1.5</v>
      </c>
      <c r="W260" s="5">
        <f t="shared" si="9"/>
        <v>3.7</v>
      </c>
      <c r="X260" s="3">
        <v>-0.94897197449579329</v>
      </c>
      <c r="Y260" t="s">
        <v>609</v>
      </c>
      <c r="Z260" s="4">
        <v>43600</v>
      </c>
      <c r="AA260" t="s">
        <v>524</v>
      </c>
      <c r="AB260" t="s">
        <v>532</v>
      </c>
      <c r="AC260" t="s">
        <v>609</v>
      </c>
      <c r="AD260" t="s">
        <v>1194</v>
      </c>
      <c r="AE260" t="s">
        <v>1365</v>
      </c>
      <c r="AF260" t="s">
        <v>1376</v>
      </c>
      <c r="AG260" s="6">
        <v>0.3</v>
      </c>
      <c r="AH260" s="2">
        <v>0.05</v>
      </c>
      <c r="AI260" s="7">
        <v>65.2</v>
      </c>
      <c r="AJ260" s="5" t="s">
        <v>443</v>
      </c>
      <c r="AK260" s="5">
        <v>45.5</v>
      </c>
      <c r="AL260" s="5">
        <v>8.81</v>
      </c>
      <c r="AM260" s="5">
        <v>29.2</v>
      </c>
      <c r="AN260" s="5">
        <v>13.2</v>
      </c>
      <c r="AO260" s="5" t="s">
        <v>443</v>
      </c>
      <c r="AP260" s="5" t="s">
        <v>443</v>
      </c>
      <c r="AQ260" s="5" t="s">
        <v>443</v>
      </c>
      <c r="AR260" s="2" t="s">
        <v>1370</v>
      </c>
      <c r="AS260" t="s">
        <v>609</v>
      </c>
    </row>
    <row r="261" spans="1:45" x14ac:dyDescent="0.35">
      <c r="A261" t="s">
        <v>533</v>
      </c>
      <c r="B261" t="s">
        <v>534</v>
      </c>
      <c r="C261" t="s">
        <v>1036</v>
      </c>
      <c r="D261" s="2" t="s">
        <v>594</v>
      </c>
      <c r="E261" s="2" t="s">
        <v>522</v>
      </c>
      <c r="F261" s="2" t="s">
        <v>717</v>
      </c>
      <c r="G261" s="3">
        <v>44000</v>
      </c>
      <c r="H261" s="3">
        <v>828</v>
      </c>
      <c r="I261" s="3">
        <v>644</v>
      </c>
      <c r="J261" s="3">
        <v>2034</v>
      </c>
      <c r="K261" s="3">
        <v>94.5</v>
      </c>
      <c r="L261" s="3">
        <v>55695</v>
      </c>
      <c r="M261" s="3">
        <v>476</v>
      </c>
      <c r="N261" s="3">
        <v>126</v>
      </c>
      <c r="O261" s="5">
        <v>89.7</v>
      </c>
      <c r="P261" s="5">
        <v>1</v>
      </c>
      <c r="Q261" s="5">
        <v>1.5</v>
      </c>
      <c r="R261" s="5">
        <v>7.8</v>
      </c>
      <c r="S261" s="5">
        <v>0.2</v>
      </c>
      <c r="T261" s="5">
        <v>98.8</v>
      </c>
      <c r="U261" s="5">
        <v>0.7</v>
      </c>
      <c r="V261" s="5">
        <v>0.4</v>
      </c>
      <c r="W261" s="5">
        <f t="shared" si="9"/>
        <v>1.1000000000000001</v>
      </c>
      <c r="X261" s="3">
        <v>29.0234120869947</v>
      </c>
      <c r="Y261" t="s">
        <v>609</v>
      </c>
      <c r="Z261" s="4">
        <v>43600</v>
      </c>
      <c r="AA261" t="s">
        <v>524</v>
      </c>
      <c r="AB261" t="s">
        <v>535</v>
      </c>
      <c r="AC261" t="s">
        <v>609</v>
      </c>
      <c r="AD261" t="s">
        <v>1195</v>
      </c>
      <c r="AE261" t="s">
        <v>1365</v>
      </c>
      <c r="AF261" t="s">
        <v>1376</v>
      </c>
      <c r="AG261" s="6">
        <v>0.18</v>
      </c>
      <c r="AH261" s="2">
        <v>0.05</v>
      </c>
      <c r="AI261" s="5">
        <v>135.19999999999999</v>
      </c>
      <c r="AJ261" s="5" t="s">
        <v>443</v>
      </c>
      <c r="AK261" s="5" t="s">
        <v>536</v>
      </c>
      <c r="AL261" s="5">
        <v>8.39</v>
      </c>
      <c r="AM261" s="5">
        <v>20.6</v>
      </c>
      <c r="AN261" s="5">
        <v>8.6</v>
      </c>
      <c r="AO261" s="5" t="s">
        <v>443</v>
      </c>
      <c r="AP261" s="5" t="s">
        <v>443</v>
      </c>
      <c r="AQ261" s="5" t="s">
        <v>443</v>
      </c>
      <c r="AR261" s="2" t="s">
        <v>1370</v>
      </c>
      <c r="AS261" t="s">
        <v>609</v>
      </c>
    </row>
    <row r="262" spans="1:45" x14ac:dyDescent="0.35">
      <c r="A262" t="s">
        <v>537</v>
      </c>
      <c r="B262" t="s">
        <v>538</v>
      </c>
      <c r="C262" t="s">
        <v>1047</v>
      </c>
      <c r="D262" s="2" t="s">
        <v>594</v>
      </c>
      <c r="E262" s="2" t="s">
        <v>522</v>
      </c>
      <c r="F262" s="2" t="s">
        <v>718</v>
      </c>
      <c r="G262" s="3">
        <v>187</v>
      </c>
      <c r="H262" s="3">
        <v>8.3000000000000007</v>
      </c>
      <c r="I262" s="3">
        <v>36</v>
      </c>
      <c r="J262" s="3">
        <v>156</v>
      </c>
      <c r="K262" s="3">
        <v>181</v>
      </c>
      <c r="L262" s="3">
        <v>140</v>
      </c>
      <c r="M262" s="3">
        <v>311</v>
      </c>
      <c r="N262" s="3">
        <v>0</v>
      </c>
      <c r="O262" s="5">
        <v>35.4</v>
      </c>
      <c r="P262" s="5">
        <v>0.9</v>
      </c>
      <c r="Q262" s="5">
        <v>7.8</v>
      </c>
      <c r="R262" s="5">
        <v>55.9</v>
      </c>
      <c r="S262" s="5">
        <v>38.9</v>
      </c>
      <c r="T262" s="5">
        <v>22.2</v>
      </c>
      <c r="U262" s="5">
        <v>38.9</v>
      </c>
      <c r="V262" s="5">
        <v>0</v>
      </c>
      <c r="W262" s="5">
        <f t="shared" si="9"/>
        <v>38.9</v>
      </c>
      <c r="X262" s="3">
        <v>27.326831515916826</v>
      </c>
      <c r="Y262" t="s">
        <v>609</v>
      </c>
      <c r="Z262" s="4">
        <v>43600</v>
      </c>
      <c r="AA262" t="s">
        <v>524</v>
      </c>
      <c r="AB262" t="s">
        <v>539</v>
      </c>
      <c r="AC262" t="s">
        <v>609</v>
      </c>
      <c r="AD262" t="s">
        <v>1196</v>
      </c>
      <c r="AE262" t="s">
        <v>1365</v>
      </c>
      <c r="AF262" t="s">
        <v>1376</v>
      </c>
      <c r="AG262" s="6" t="s">
        <v>443</v>
      </c>
      <c r="AH262" s="2">
        <v>0.05</v>
      </c>
      <c r="AI262" s="5" t="s">
        <v>443</v>
      </c>
      <c r="AJ262" s="5" t="s">
        <v>443</v>
      </c>
      <c r="AK262" s="5" t="s">
        <v>540</v>
      </c>
      <c r="AL262" s="5" t="s">
        <v>443</v>
      </c>
      <c r="AM262" s="5" t="s">
        <v>443</v>
      </c>
      <c r="AN262" s="5" t="s">
        <v>443</v>
      </c>
      <c r="AO262" s="5" t="s">
        <v>443</v>
      </c>
      <c r="AP262" s="5" t="s">
        <v>443</v>
      </c>
      <c r="AQ262" s="5" t="s">
        <v>443</v>
      </c>
      <c r="AR262" s="2" t="s">
        <v>1370</v>
      </c>
      <c r="AS262" t="s">
        <v>609</v>
      </c>
    </row>
    <row r="263" spans="1:45" x14ac:dyDescent="0.35">
      <c r="A263" t="s">
        <v>541</v>
      </c>
      <c r="B263" t="s">
        <v>969</v>
      </c>
      <c r="C263" t="s">
        <v>1036</v>
      </c>
      <c r="D263" s="2" t="s">
        <v>594</v>
      </c>
      <c r="E263" s="2" t="s">
        <v>522</v>
      </c>
      <c r="F263" s="2" t="s">
        <v>717</v>
      </c>
      <c r="G263" s="3">
        <v>83440</v>
      </c>
      <c r="H263" s="3">
        <v>182</v>
      </c>
      <c r="I263" s="3">
        <v>476</v>
      </c>
      <c r="J263" s="3">
        <v>3395</v>
      </c>
      <c r="K263" s="3">
        <v>105403</v>
      </c>
      <c r="L263" s="3">
        <v>53921</v>
      </c>
      <c r="M263" s="3">
        <v>921</v>
      </c>
      <c r="N263" s="3">
        <v>0</v>
      </c>
      <c r="O263" s="5">
        <v>92.2</v>
      </c>
      <c r="P263" s="5">
        <v>0.1</v>
      </c>
      <c r="Q263" s="5">
        <v>0.6</v>
      </c>
      <c r="R263" s="5">
        <v>7.1</v>
      </c>
      <c r="S263" s="5">
        <v>72.3</v>
      </c>
      <c r="T263" s="5">
        <v>27.3</v>
      </c>
      <c r="U263" s="5">
        <v>0.4</v>
      </c>
      <c r="V263" s="5">
        <v>0</v>
      </c>
      <c r="W263" s="5">
        <f t="shared" si="9"/>
        <v>0.4</v>
      </c>
      <c r="X263" s="3">
        <v>-2.1594344093180009</v>
      </c>
      <c r="Y263" t="s">
        <v>609</v>
      </c>
      <c r="Z263" s="4">
        <v>43602</v>
      </c>
      <c r="AA263" t="s">
        <v>524</v>
      </c>
      <c r="AB263" t="s">
        <v>542</v>
      </c>
      <c r="AC263" t="s">
        <v>609</v>
      </c>
      <c r="AD263" t="s">
        <v>1197</v>
      </c>
      <c r="AE263" t="s">
        <v>1365</v>
      </c>
      <c r="AF263" t="s">
        <v>1376</v>
      </c>
      <c r="AG263" s="6">
        <v>0.2</v>
      </c>
      <c r="AH263" s="2">
        <v>0.05</v>
      </c>
      <c r="AI263" s="5">
        <v>181.8</v>
      </c>
      <c r="AJ263" s="5" t="s">
        <v>443</v>
      </c>
      <c r="AK263" s="5" t="s">
        <v>543</v>
      </c>
      <c r="AL263" s="5">
        <v>8.2100000000000009</v>
      </c>
      <c r="AM263" s="5">
        <v>24.5</v>
      </c>
      <c r="AN263" s="5">
        <v>7.68</v>
      </c>
      <c r="AO263" s="5" t="s">
        <v>443</v>
      </c>
      <c r="AP263" s="5" t="s">
        <v>443</v>
      </c>
      <c r="AQ263" s="5" t="s">
        <v>443</v>
      </c>
      <c r="AR263" s="2" t="s">
        <v>1370</v>
      </c>
      <c r="AS263" t="s">
        <v>609</v>
      </c>
    </row>
    <row r="264" spans="1:45" x14ac:dyDescent="0.35">
      <c r="A264" t="s">
        <v>544</v>
      </c>
      <c r="B264" t="s">
        <v>545</v>
      </c>
      <c r="C264" t="s">
        <v>1036</v>
      </c>
      <c r="D264" s="2" t="s">
        <v>594</v>
      </c>
      <c r="E264" s="2" t="s">
        <v>522</v>
      </c>
      <c r="F264" s="2" t="s">
        <v>717</v>
      </c>
      <c r="G264" s="3">
        <v>6488</v>
      </c>
      <c r="H264" s="3">
        <v>132</v>
      </c>
      <c r="I264" s="3">
        <v>1752</v>
      </c>
      <c r="J264" s="3">
        <v>2005</v>
      </c>
      <c r="K264" s="3">
        <v>13559</v>
      </c>
      <c r="L264" s="3">
        <v>8147</v>
      </c>
      <c r="M264" s="3">
        <v>329</v>
      </c>
      <c r="N264" s="3">
        <v>0</v>
      </c>
      <c r="O264" s="5">
        <v>52.5</v>
      </c>
      <c r="P264" s="5">
        <v>0.6</v>
      </c>
      <c r="Q264" s="5">
        <v>16.2</v>
      </c>
      <c r="R264" s="5">
        <v>30.7</v>
      </c>
      <c r="S264" s="5">
        <v>68.599999999999994</v>
      </c>
      <c r="T264" s="5">
        <v>30.4</v>
      </c>
      <c r="U264" s="5">
        <v>1</v>
      </c>
      <c r="V264" s="5">
        <v>0</v>
      </c>
      <c r="W264" s="5">
        <f t="shared" si="9"/>
        <v>1</v>
      </c>
      <c r="X264" s="3">
        <v>-1.7768460277302018</v>
      </c>
      <c r="Y264" t="s">
        <v>609</v>
      </c>
      <c r="Z264" s="4">
        <v>43604</v>
      </c>
      <c r="AA264" t="s">
        <v>546</v>
      </c>
      <c r="AB264" t="s">
        <v>547</v>
      </c>
      <c r="AC264" t="s">
        <v>609</v>
      </c>
      <c r="AD264" t="s">
        <v>1198</v>
      </c>
      <c r="AE264" t="s">
        <v>1365</v>
      </c>
      <c r="AF264" t="s">
        <v>1376</v>
      </c>
      <c r="AG264" s="6" t="s">
        <v>443</v>
      </c>
      <c r="AH264" s="2">
        <v>0.05</v>
      </c>
      <c r="AI264" s="5">
        <v>41</v>
      </c>
      <c r="AJ264" s="5" t="s">
        <v>443</v>
      </c>
      <c r="AK264" s="5">
        <v>32.4</v>
      </c>
      <c r="AL264" s="5">
        <v>7.99</v>
      </c>
      <c r="AM264" s="5">
        <v>15.6</v>
      </c>
      <c r="AN264" s="5">
        <v>9.83</v>
      </c>
      <c r="AO264" s="5" t="s">
        <v>443</v>
      </c>
      <c r="AP264" s="5" t="s">
        <v>443</v>
      </c>
      <c r="AQ264" s="5" t="s">
        <v>443</v>
      </c>
      <c r="AR264" s="2" t="s">
        <v>1370</v>
      </c>
      <c r="AS264" t="s">
        <v>609</v>
      </c>
    </row>
    <row r="265" spans="1:45" x14ac:dyDescent="0.35">
      <c r="A265" t="s">
        <v>548</v>
      </c>
      <c r="B265" t="s">
        <v>1046</v>
      </c>
      <c r="C265" t="s">
        <v>1036</v>
      </c>
      <c r="D265" s="2" t="s">
        <v>594</v>
      </c>
      <c r="E265" s="2" t="s">
        <v>549</v>
      </c>
      <c r="F265" s="2" t="s">
        <v>717</v>
      </c>
      <c r="G265" s="3">
        <v>648</v>
      </c>
      <c r="H265" s="3">
        <v>17.7</v>
      </c>
      <c r="I265" s="3">
        <v>192</v>
      </c>
      <c r="J265" s="3">
        <v>347</v>
      </c>
      <c r="K265" s="3">
        <v>407</v>
      </c>
      <c r="L265" s="3">
        <v>1818</v>
      </c>
      <c r="M265" s="3">
        <v>327</v>
      </c>
      <c r="N265" s="3">
        <v>0</v>
      </c>
      <c r="O265" s="5">
        <v>42.2</v>
      </c>
      <c r="P265" s="5">
        <v>0.7</v>
      </c>
      <c r="Q265" s="5">
        <v>14.3</v>
      </c>
      <c r="R265" s="5">
        <v>42.8</v>
      </c>
      <c r="S265" s="5">
        <v>21</v>
      </c>
      <c r="T265" s="5">
        <v>69.2</v>
      </c>
      <c r="U265" s="5">
        <v>9.8000000000000007</v>
      </c>
      <c r="V265" s="5">
        <v>0</v>
      </c>
      <c r="W265" s="5">
        <f t="shared" si="9"/>
        <v>9.8000000000000007</v>
      </c>
      <c r="X265" s="3">
        <v>9.9515153157443699</v>
      </c>
      <c r="Y265" t="s">
        <v>609</v>
      </c>
      <c r="Z265" s="4">
        <v>43617</v>
      </c>
      <c r="AA265" t="s">
        <v>550</v>
      </c>
      <c r="AB265" t="s">
        <v>551</v>
      </c>
      <c r="AC265" t="s">
        <v>609</v>
      </c>
      <c r="AD265" t="s">
        <v>1199</v>
      </c>
      <c r="AE265" t="s">
        <v>1365</v>
      </c>
      <c r="AF265" t="s">
        <v>1376</v>
      </c>
      <c r="AG265" s="6">
        <v>0.65</v>
      </c>
      <c r="AH265" s="2">
        <v>0.05</v>
      </c>
      <c r="AI265" s="5">
        <v>4.37</v>
      </c>
      <c r="AJ265" s="5" t="s">
        <v>443</v>
      </c>
      <c r="AK265" s="5">
        <v>3.8</v>
      </c>
      <c r="AL265" s="5">
        <v>8.02</v>
      </c>
      <c r="AM265" s="5">
        <v>25.5</v>
      </c>
      <c r="AN265" s="5">
        <v>6.34</v>
      </c>
      <c r="AO265" s="5" t="s">
        <v>443</v>
      </c>
      <c r="AP265" s="5" t="s">
        <v>443</v>
      </c>
      <c r="AQ265" s="5" t="s">
        <v>443</v>
      </c>
      <c r="AR265" s="2" t="s">
        <v>1370</v>
      </c>
      <c r="AS265" t="s">
        <v>609</v>
      </c>
    </row>
    <row r="266" spans="1:45" x14ac:dyDescent="0.35">
      <c r="A266" t="s">
        <v>299</v>
      </c>
      <c r="B266" t="s">
        <v>995</v>
      </c>
      <c r="C266" t="s">
        <v>1036</v>
      </c>
      <c r="D266" s="2" t="s">
        <v>592</v>
      </c>
      <c r="E266" s="2" t="s">
        <v>1368</v>
      </c>
      <c r="F266" s="2" t="s">
        <v>717</v>
      </c>
      <c r="G266" s="3">
        <v>4298</v>
      </c>
      <c r="H266" s="3">
        <v>77</v>
      </c>
      <c r="I266" s="3">
        <v>0</v>
      </c>
      <c r="J266" s="3">
        <v>67</v>
      </c>
      <c r="K266" s="3">
        <v>5024</v>
      </c>
      <c r="L266" s="3">
        <v>2234</v>
      </c>
      <c r="M266" s="3">
        <v>503</v>
      </c>
      <c r="N266" s="3">
        <v>87</v>
      </c>
      <c r="O266" s="5">
        <v>96.2</v>
      </c>
      <c r="P266" s="5">
        <v>1</v>
      </c>
      <c r="Q266" s="5">
        <v>0</v>
      </c>
      <c r="R266" s="5">
        <v>2.8</v>
      </c>
      <c r="S266" s="5">
        <v>71.099999999999994</v>
      </c>
      <c r="T266" s="5">
        <v>23.3</v>
      </c>
      <c r="U266" s="5">
        <v>4.0999999999999996</v>
      </c>
      <c r="V266" s="5">
        <v>1.5</v>
      </c>
      <c r="W266" s="5">
        <f t="shared" si="9"/>
        <v>5.6</v>
      </c>
      <c r="X266" s="3">
        <v>-1.2549082168515271</v>
      </c>
      <c r="Y266" t="s">
        <v>609</v>
      </c>
      <c r="Z266" s="4">
        <v>44334</v>
      </c>
      <c r="AA266" t="s">
        <v>840</v>
      </c>
      <c r="AB266" t="s">
        <v>300</v>
      </c>
      <c r="AC266" t="s">
        <v>609</v>
      </c>
      <c r="AD266" t="s">
        <v>1272</v>
      </c>
      <c r="AE266" t="s">
        <v>1365</v>
      </c>
      <c r="AF266" t="s">
        <v>1376</v>
      </c>
      <c r="AG266" s="6">
        <v>0.04</v>
      </c>
      <c r="AH266" s="11" t="s">
        <v>966</v>
      </c>
      <c r="AI266" s="5">
        <v>17.5</v>
      </c>
      <c r="AJ266" s="5" t="s">
        <v>443</v>
      </c>
      <c r="AK266" s="5">
        <v>12.3</v>
      </c>
      <c r="AL266" s="5">
        <v>9.3000000000000007</v>
      </c>
      <c r="AM266" s="5">
        <v>18.7</v>
      </c>
      <c r="AN266" s="5">
        <v>10.4</v>
      </c>
      <c r="AO266" s="2">
        <v>5.5</v>
      </c>
      <c r="AP266" s="2">
        <v>42.7</v>
      </c>
      <c r="AQ266" s="2">
        <v>35.9</v>
      </c>
      <c r="AR266" s="2" t="s">
        <v>1371</v>
      </c>
      <c r="AS266" s="5" t="s">
        <v>609</v>
      </c>
    </row>
    <row r="267" spans="1:45" x14ac:dyDescent="0.35">
      <c r="A267" t="s">
        <v>301</v>
      </c>
      <c r="B267" t="s">
        <v>999</v>
      </c>
      <c r="C267" t="s">
        <v>1036</v>
      </c>
      <c r="D267" s="2" t="s">
        <v>592</v>
      </c>
      <c r="E267" s="2" t="s">
        <v>1368</v>
      </c>
      <c r="F267" s="2" t="s">
        <v>717</v>
      </c>
      <c r="G267" s="3">
        <v>2853</v>
      </c>
      <c r="H267" s="3">
        <v>360</v>
      </c>
      <c r="I267" s="3">
        <v>0</v>
      </c>
      <c r="J267" s="3">
        <v>443</v>
      </c>
      <c r="K267" s="3">
        <v>1946</v>
      </c>
      <c r="L267" s="3">
        <v>3966</v>
      </c>
      <c r="M267" s="3">
        <v>1198</v>
      </c>
      <c r="N267" s="3">
        <v>291</v>
      </c>
      <c r="O267" s="5">
        <v>73.099999999999994</v>
      </c>
      <c r="P267" s="5">
        <v>5.4</v>
      </c>
      <c r="Q267" s="5">
        <v>0</v>
      </c>
      <c r="R267" s="5">
        <v>21.5</v>
      </c>
      <c r="S267" s="5">
        <v>32.9</v>
      </c>
      <c r="T267" s="5">
        <v>49.5</v>
      </c>
      <c r="U267" s="5">
        <v>11.8</v>
      </c>
      <c r="V267" s="5">
        <v>5.8</v>
      </c>
      <c r="W267" s="5">
        <f t="shared" si="9"/>
        <v>17.600000000000001</v>
      </c>
      <c r="X267" s="3">
        <v>0.88095170573277726</v>
      </c>
      <c r="Y267" t="s">
        <v>609</v>
      </c>
      <c r="Z267" s="4">
        <v>44334</v>
      </c>
      <c r="AA267" t="s">
        <v>839</v>
      </c>
      <c r="AB267" t="s">
        <v>302</v>
      </c>
      <c r="AC267" t="s">
        <v>609</v>
      </c>
      <c r="AD267" t="s">
        <v>1273</v>
      </c>
      <c r="AE267" t="s">
        <v>1365</v>
      </c>
      <c r="AF267" t="s">
        <v>1376</v>
      </c>
      <c r="AG267" s="6">
        <v>0.06</v>
      </c>
      <c r="AH267" s="11" t="s">
        <v>966</v>
      </c>
      <c r="AI267" s="5">
        <v>12.7</v>
      </c>
      <c r="AJ267" s="5" t="s">
        <v>443</v>
      </c>
      <c r="AK267" s="5">
        <v>11.1</v>
      </c>
      <c r="AL267" s="5">
        <v>9.5</v>
      </c>
      <c r="AM267" s="5">
        <v>23.3</v>
      </c>
      <c r="AN267" s="5">
        <v>13.4</v>
      </c>
      <c r="AO267" s="2">
        <v>18.899999999999999</v>
      </c>
      <c r="AP267" s="2">
        <v>257.10000000000002</v>
      </c>
      <c r="AQ267" s="2">
        <v>236.8</v>
      </c>
      <c r="AR267" s="2" t="s">
        <v>1371</v>
      </c>
      <c r="AS267" s="5" t="s">
        <v>609</v>
      </c>
    </row>
    <row r="268" spans="1:45" x14ac:dyDescent="0.35">
      <c r="A268" t="s">
        <v>303</v>
      </c>
      <c r="B268" t="s">
        <v>996</v>
      </c>
      <c r="C268" t="s">
        <v>1071</v>
      </c>
      <c r="D268" s="2" t="s">
        <v>592</v>
      </c>
      <c r="E268" s="2" t="s">
        <v>1368</v>
      </c>
      <c r="F268" s="2" t="s">
        <v>716</v>
      </c>
      <c r="G268" s="3">
        <v>950</v>
      </c>
      <c r="H268" s="3">
        <v>0</v>
      </c>
      <c r="I268" s="3">
        <v>13</v>
      </c>
      <c r="J268" s="3">
        <v>16</v>
      </c>
      <c r="K268" s="3">
        <v>304</v>
      </c>
      <c r="L268" s="3">
        <v>261</v>
      </c>
      <c r="M268" s="3">
        <v>1435</v>
      </c>
      <c r="N268" s="3">
        <v>138</v>
      </c>
      <c r="O268" s="5">
        <v>95.5</v>
      </c>
      <c r="P268" s="5">
        <v>0</v>
      </c>
      <c r="Q268" s="5">
        <v>1.5</v>
      </c>
      <c r="R268" s="5">
        <v>3.1</v>
      </c>
      <c r="S268" s="5">
        <v>20.3</v>
      </c>
      <c r="T268" s="5">
        <v>12.9</v>
      </c>
      <c r="U268" s="5">
        <v>55.8</v>
      </c>
      <c r="V268" s="5">
        <v>10.9</v>
      </c>
      <c r="W268" s="5">
        <f t="shared" si="9"/>
        <v>66.7</v>
      </c>
      <c r="X268" s="3">
        <v>1.3597803457585182</v>
      </c>
      <c r="Y268" t="s">
        <v>609</v>
      </c>
      <c r="Z268" s="4">
        <v>44335</v>
      </c>
      <c r="AA268" t="s">
        <v>304</v>
      </c>
      <c r="AB268" t="s">
        <v>305</v>
      </c>
      <c r="AC268" t="s">
        <v>609</v>
      </c>
      <c r="AD268" t="s">
        <v>1274</v>
      </c>
      <c r="AE268" t="s">
        <v>1365</v>
      </c>
      <c r="AF268" t="s">
        <v>1376</v>
      </c>
      <c r="AG268" s="6">
        <v>0.06</v>
      </c>
      <c r="AH268" s="11" t="s">
        <v>966</v>
      </c>
      <c r="AI268" s="5">
        <v>3.8</v>
      </c>
      <c r="AJ268" s="5" t="s">
        <v>443</v>
      </c>
      <c r="AK268" s="5">
        <v>3.1</v>
      </c>
      <c r="AL268" s="5">
        <v>9.4</v>
      </c>
      <c r="AM268" s="5">
        <v>18.600000000000001</v>
      </c>
      <c r="AN268" s="5">
        <v>10.6</v>
      </c>
      <c r="AO268" s="2">
        <v>23.1</v>
      </c>
      <c r="AP268" s="2">
        <v>68.7</v>
      </c>
      <c r="AQ268" s="2">
        <v>37.299999999999997</v>
      </c>
      <c r="AR268" s="2" t="s">
        <v>1371</v>
      </c>
      <c r="AS268" s="5" t="s">
        <v>609</v>
      </c>
    </row>
    <row r="269" spans="1:45" x14ac:dyDescent="0.35">
      <c r="A269" t="s">
        <v>306</v>
      </c>
      <c r="B269" t="s">
        <v>997</v>
      </c>
      <c r="C269" t="s">
        <v>1000</v>
      </c>
      <c r="D269" s="2" t="s">
        <v>592</v>
      </c>
      <c r="E269" s="2" t="s">
        <v>1368</v>
      </c>
      <c r="F269" s="2" t="s">
        <v>716</v>
      </c>
      <c r="G269" s="3">
        <v>403</v>
      </c>
      <c r="H269" s="3">
        <v>5</v>
      </c>
      <c r="I269" s="3">
        <v>0</v>
      </c>
      <c r="J269" s="3">
        <v>95</v>
      </c>
      <c r="K269" s="3">
        <v>127</v>
      </c>
      <c r="L269" s="3">
        <v>99</v>
      </c>
      <c r="M269" s="3">
        <v>873</v>
      </c>
      <c r="N269" s="3">
        <v>160</v>
      </c>
      <c r="O269" s="5">
        <v>68.900000000000006</v>
      </c>
      <c r="P269" s="5">
        <v>0.5</v>
      </c>
      <c r="Q269" s="5">
        <v>0</v>
      </c>
      <c r="R269" s="5">
        <v>30.6</v>
      </c>
      <c r="S269" s="5">
        <v>14.2</v>
      </c>
      <c r="T269" s="5">
        <v>8.1999999999999993</v>
      </c>
      <c r="U269" s="5">
        <v>56.6</v>
      </c>
      <c r="V269" s="5">
        <v>21.1</v>
      </c>
      <c r="W269" s="5">
        <f t="shared" si="9"/>
        <v>77.7</v>
      </c>
      <c r="X269" s="3">
        <v>0.37889583236832047</v>
      </c>
      <c r="Y269" t="s">
        <v>609</v>
      </c>
      <c r="Z269" s="4">
        <v>44335</v>
      </c>
      <c r="AA269" t="s">
        <v>304</v>
      </c>
      <c r="AB269" t="s">
        <v>307</v>
      </c>
      <c r="AC269" t="s">
        <v>609</v>
      </c>
      <c r="AD269" t="s">
        <v>1275</v>
      </c>
      <c r="AE269" t="s">
        <v>1365</v>
      </c>
      <c r="AF269" t="s">
        <v>1376</v>
      </c>
      <c r="AG269" s="6">
        <v>0.23</v>
      </c>
      <c r="AH269" s="11" t="s">
        <v>966</v>
      </c>
      <c r="AI269" s="5">
        <v>2.1</v>
      </c>
      <c r="AJ269" s="5" t="s">
        <v>443</v>
      </c>
      <c r="AK269" s="5">
        <v>1.8</v>
      </c>
      <c r="AL269" s="5">
        <v>9.6999999999999993</v>
      </c>
      <c r="AM269" s="5">
        <v>16.3</v>
      </c>
      <c r="AN269" s="5">
        <v>11.2</v>
      </c>
      <c r="AO269" s="2">
        <v>2.9</v>
      </c>
      <c r="AP269" s="2">
        <v>40.299999999999997</v>
      </c>
      <c r="AQ269" s="2">
        <v>37.6</v>
      </c>
      <c r="AR269" s="2" t="s">
        <v>1371</v>
      </c>
      <c r="AS269" s="5" t="s">
        <v>609</v>
      </c>
    </row>
    <row r="270" spans="1:45" x14ac:dyDescent="0.35">
      <c r="A270" t="s">
        <v>308</v>
      </c>
      <c r="B270" t="s">
        <v>836</v>
      </c>
      <c r="C270" t="s">
        <v>1035</v>
      </c>
      <c r="D270" s="2" t="s">
        <v>592</v>
      </c>
      <c r="E270" s="2" t="s">
        <v>1368</v>
      </c>
      <c r="F270" s="2" t="s">
        <v>716</v>
      </c>
      <c r="G270" s="3">
        <v>451</v>
      </c>
      <c r="H270" s="3">
        <v>0</v>
      </c>
      <c r="I270" s="3">
        <v>8</v>
      </c>
      <c r="J270" s="3">
        <v>26</v>
      </c>
      <c r="K270" s="3">
        <v>195</v>
      </c>
      <c r="L270" s="3">
        <v>30</v>
      </c>
      <c r="M270" s="3">
        <v>843</v>
      </c>
      <c r="N270" s="3">
        <v>58</v>
      </c>
      <c r="O270" s="5">
        <v>88.4</v>
      </c>
      <c r="P270" s="5">
        <v>0</v>
      </c>
      <c r="Q270" s="5">
        <v>1.9</v>
      </c>
      <c r="R270" s="5">
        <v>9.8000000000000007</v>
      </c>
      <c r="S270" s="5">
        <v>25.1</v>
      </c>
      <c r="T270" s="5">
        <v>2.9</v>
      </c>
      <c r="U270" s="5">
        <v>63.1</v>
      </c>
      <c r="V270" s="5">
        <v>8.9</v>
      </c>
      <c r="W270" s="5">
        <f t="shared" si="9"/>
        <v>72</v>
      </c>
      <c r="X270" s="3">
        <v>0.64172736702552136</v>
      </c>
      <c r="Y270" t="s">
        <v>609</v>
      </c>
      <c r="Z270" s="4">
        <v>44335</v>
      </c>
      <c r="AA270" t="s">
        <v>309</v>
      </c>
      <c r="AB270" t="s">
        <v>310</v>
      </c>
      <c r="AC270" t="s">
        <v>609</v>
      </c>
      <c r="AD270" t="s">
        <v>1276</v>
      </c>
      <c r="AE270" t="s">
        <v>1365</v>
      </c>
      <c r="AF270" t="s">
        <v>1376</v>
      </c>
      <c r="AG270" s="6">
        <v>0.31</v>
      </c>
      <c r="AH270" s="11" t="s">
        <v>966</v>
      </c>
      <c r="AI270" s="5">
        <v>2</v>
      </c>
      <c r="AJ270" s="5" t="s">
        <v>443</v>
      </c>
      <c r="AK270" s="5">
        <v>1.6</v>
      </c>
      <c r="AL270" s="5">
        <v>9.1</v>
      </c>
      <c r="AM270" s="5">
        <v>16.8</v>
      </c>
      <c r="AN270" s="5">
        <v>15.8</v>
      </c>
      <c r="AO270" s="2">
        <v>102.8</v>
      </c>
      <c r="AP270" s="2">
        <v>51.3</v>
      </c>
      <c r="AQ270" s="2">
        <v>41.2</v>
      </c>
      <c r="AR270" s="2" t="s">
        <v>1371</v>
      </c>
      <c r="AS270" s="5" t="s">
        <v>609</v>
      </c>
    </row>
    <row r="271" spans="1:45" x14ac:dyDescent="0.35">
      <c r="A271" t="s">
        <v>311</v>
      </c>
      <c r="B271" t="s">
        <v>973</v>
      </c>
      <c r="C271" t="s">
        <v>972</v>
      </c>
      <c r="D271" s="2" t="s">
        <v>592</v>
      </c>
      <c r="E271" s="2" t="s">
        <v>1368</v>
      </c>
      <c r="F271" s="2" t="s">
        <v>716</v>
      </c>
      <c r="G271" s="3">
        <v>914</v>
      </c>
      <c r="H271" s="3">
        <v>0</v>
      </c>
      <c r="I271" s="3">
        <v>8</v>
      </c>
      <c r="J271" s="3">
        <v>9</v>
      </c>
      <c r="K271" s="3">
        <v>505</v>
      </c>
      <c r="L271" s="3">
        <v>157</v>
      </c>
      <c r="M271" s="3">
        <v>1213</v>
      </c>
      <c r="N271" s="3">
        <v>73</v>
      </c>
      <c r="O271" s="5">
        <v>97.3</v>
      </c>
      <c r="P271" s="5">
        <v>0</v>
      </c>
      <c r="Q271" s="5">
        <v>0.9</v>
      </c>
      <c r="R271" s="5">
        <v>1.8</v>
      </c>
      <c r="S271" s="5">
        <v>35.799999999999997</v>
      </c>
      <c r="T271" s="5">
        <v>8.1999999999999993</v>
      </c>
      <c r="U271" s="5">
        <v>49.9</v>
      </c>
      <c r="V271" s="5">
        <v>6.1</v>
      </c>
      <c r="W271" s="5">
        <f t="shared" si="9"/>
        <v>56</v>
      </c>
      <c r="X271" s="3">
        <v>1.3256384031206969</v>
      </c>
      <c r="Y271" t="s">
        <v>609</v>
      </c>
      <c r="Z271" s="4">
        <v>44337</v>
      </c>
      <c r="AA271" t="s">
        <v>10</v>
      </c>
      <c r="AB271" t="s">
        <v>312</v>
      </c>
      <c r="AC271" t="s">
        <v>609</v>
      </c>
      <c r="AD271" t="s">
        <v>1277</v>
      </c>
      <c r="AE271" t="s">
        <v>1365</v>
      </c>
      <c r="AF271" t="s">
        <v>1376</v>
      </c>
      <c r="AG271" s="6">
        <v>0.13</v>
      </c>
      <c r="AH271" s="11" t="s">
        <v>966</v>
      </c>
      <c r="AI271" s="5">
        <v>3.7</v>
      </c>
      <c r="AJ271" s="5" t="s">
        <v>443</v>
      </c>
      <c r="AK271" s="5">
        <v>2.9</v>
      </c>
      <c r="AL271" s="5">
        <v>9.3000000000000007</v>
      </c>
      <c r="AM271" s="5">
        <v>23.9</v>
      </c>
      <c r="AN271" s="5">
        <v>9.1999999999999993</v>
      </c>
      <c r="AO271" s="2">
        <v>19.2</v>
      </c>
      <c r="AP271" s="2">
        <v>159.30000000000001</v>
      </c>
      <c r="AQ271" s="2">
        <v>136.4</v>
      </c>
      <c r="AR271" s="2" t="s">
        <v>1371</v>
      </c>
      <c r="AS271" s="5" t="s">
        <v>609</v>
      </c>
    </row>
    <row r="272" spans="1:45" x14ac:dyDescent="0.35">
      <c r="A272" t="s">
        <v>313</v>
      </c>
      <c r="B272" t="s">
        <v>989</v>
      </c>
      <c r="C272" t="s">
        <v>1075</v>
      </c>
      <c r="D272" s="2" t="s">
        <v>592</v>
      </c>
      <c r="E272" s="2" t="s">
        <v>1368</v>
      </c>
      <c r="F272" s="2" t="s">
        <v>718</v>
      </c>
      <c r="G272" s="3">
        <v>1845</v>
      </c>
      <c r="H272" s="3">
        <v>0</v>
      </c>
      <c r="I272" s="3">
        <v>2</v>
      </c>
      <c r="J272" s="3">
        <v>0</v>
      </c>
      <c r="K272" s="3">
        <v>1528</v>
      </c>
      <c r="L272" s="3">
        <v>359</v>
      </c>
      <c r="M272" s="3">
        <v>1479</v>
      </c>
      <c r="N272" s="3">
        <v>262</v>
      </c>
      <c r="O272" s="5">
        <v>99.9</v>
      </c>
      <c r="P272" s="5">
        <v>0</v>
      </c>
      <c r="Q272" s="5">
        <v>0.1</v>
      </c>
      <c r="R272" s="5">
        <v>0</v>
      </c>
      <c r="S272" s="5">
        <v>51.6</v>
      </c>
      <c r="T272" s="5">
        <v>8.9</v>
      </c>
      <c r="U272" s="5">
        <v>29</v>
      </c>
      <c r="V272" s="5">
        <v>10.4</v>
      </c>
      <c r="W272" s="5">
        <f t="shared" si="9"/>
        <v>39.4</v>
      </c>
      <c r="X272" s="3">
        <v>-1.9503629993281681</v>
      </c>
      <c r="Y272" t="s">
        <v>609</v>
      </c>
      <c r="Z272" s="4">
        <v>44337</v>
      </c>
      <c r="AA272" t="s">
        <v>10</v>
      </c>
      <c r="AB272" t="s">
        <v>314</v>
      </c>
      <c r="AC272" t="s">
        <v>609</v>
      </c>
      <c r="AD272" t="s">
        <v>1278</v>
      </c>
      <c r="AE272" t="s">
        <v>1365</v>
      </c>
      <c r="AF272" t="s">
        <v>1376</v>
      </c>
      <c r="AG272" s="6">
        <v>0.11</v>
      </c>
      <c r="AH272" s="11" t="s">
        <v>966</v>
      </c>
      <c r="AI272" s="5">
        <v>7.2</v>
      </c>
      <c r="AJ272" s="5" t="s">
        <v>443</v>
      </c>
      <c r="AK272" s="5">
        <v>5.5</v>
      </c>
      <c r="AL272" s="5">
        <v>9.6</v>
      </c>
      <c r="AM272" s="5">
        <v>23.8</v>
      </c>
      <c r="AN272" s="5">
        <v>9.4</v>
      </c>
      <c r="AO272" s="2">
        <v>136.1</v>
      </c>
      <c r="AP272" s="2">
        <v>71.8</v>
      </c>
      <c r="AQ272" s="2">
        <v>39.6</v>
      </c>
      <c r="AR272" s="2" t="s">
        <v>1371</v>
      </c>
      <c r="AS272" s="5" t="s">
        <v>609</v>
      </c>
    </row>
    <row r="273" spans="1:45" x14ac:dyDescent="0.35">
      <c r="A273" t="s">
        <v>315</v>
      </c>
      <c r="B273" t="s">
        <v>976</v>
      </c>
      <c r="C273" t="s">
        <v>1076</v>
      </c>
      <c r="D273" s="2" t="s">
        <v>592</v>
      </c>
      <c r="E273" s="2" t="s">
        <v>1368</v>
      </c>
      <c r="F273" s="2" t="s">
        <v>718</v>
      </c>
      <c r="G273" s="3">
        <v>1584</v>
      </c>
      <c r="H273" s="3">
        <v>0</v>
      </c>
      <c r="I273" s="3">
        <v>1</v>
      </c>
      <c r="J273" s="3">
        <v>0</v>
      </c>
      <c r="K273" s="3">
        <v>1309</v>
      </c>
      <c r="L273" s="3">
        <v>169</v>
      </c>
      <c r="M273" s="3">
        <v>1317</v>
      </c>
      <c r="N273" s="3">
        <v>182</v>
      </c>
      <c r="O273" s="5">
        <v>99.9</v>
      </c>
      <c r="P273" s="5">
        <v>0</v>
      </c>
      <c r="Q273" s="5">
        <v>0.1</v>
      </c>
      <c r="R273" s="5">
        <v>0</v>
      </c>
      <c r="S273" s="5">
        <v>54.2</v>
      </c>
      <c r="T273" s="5">
        <v>5.2</v>
      </c>
      <c r="U273" s="5">
        <v>31.7</v>
      </c>
      <c r="V273" s="5">
        <v>8.9</v>
      </c>
      <c r="W273" s="5">
        <f t="shared" si="9"/>
        <v>40.6</v>
      </c>
      <c r="X273" s="3">
        <v>0.62446544719213759</v>
      </c>
      <c r="Y273" t="s">
        <v>609</v>
      </c>
      <c r="Z273" s="4">
        <v>44337</v>
      </c>
      <c r="AA273" t="s">
        <v>10</v>
      </c>
      <c r="AB273" t="s">
        <v>316</v>
      </c>
      <c r="AC273" t="s">
        <v>609</v>
      </c>
      <c r="AD273" t="s">
        <v>1279</v>
      </c>
      <c r="AE273" t="s">
        <v>1365</v>
      </c>
      <c r="AF273" t="s">
        <v>1376</v>
      </c>
      <c r="AG273" s="6">
        <v>0.11</v>
      </c>
      <c r="AH273" s="11" t="s">
        <v>966</v>
      </c>
      <c r="AI273" s="5">
        <v>6.2</v>
      </c>
      <c r="AJ273" s="5" t="s">
        <v>443</v>
      </c>
      <c r="AK273" s="5">
        <v>4.5999999999999996</v>
      </c>
      <c r="AL273" s="5">
        <v>9.6999999999999993</v>
      </c>
      <c r="AM273" s="5">
        <v>23.3</v>
      </c>
      <c r="AN273" s="5">
        <v>9.1</v>
      </c>
      <c r="AO273" s="2">
        <v>60.9</v>
      </c>
      <c r="AP273" s="2">
        <v>54</v>
      </c>
      <c r="AQ273" s="2">
        <v>24.3</v>
      </c>
      <c r="AR273" s="2" t="s">
        <v>1371</v>
      </c>
      <c r="AS273" s="5" t="s">
        <v>609</v>
      </c>
    </row>
    <row r="274" spans="1:45" x14ac:dyDescent="0.35">
      <c r="A274" t="s">
        <v>317</v>
      </c>
      <c r="B274" t="s">
        <v>1001</v>
      </c>
      <c r="C274" t="s">
        <v>1073</v>
      </c>
      <c r="D274" s="2" t="s">
        <v>592</v>
      </c>
      <c r="E274" s="2" t="s">
        <v>1368</v>
      </c>
      <c r="F274" s="2" t="s">
        <v>716</v>
      </c>
      <c r="G274" s="3">
        <v>432</v>
      </c>
      <c r="H274" s="3">
        <v>0</v>
      </c>
      <c r="I274" s="3">
        <v>30</v>
      </c>
      <c r="J274" s="3">
        <v>3</v>
      </c>
      <c r="K274" s="3">
        <v>243</v>
      </c>
      <c r="L274" s="3">
        <v>54</v>
      </c>
      <c r="M274" s="3">
        <v>666</v>
      </c>
      <c r="N274" s="3">
        <v>36</v>
      </c>
      <c r="O274" s="5">
        <v>91.5</v>
      </c>
      <c r="P274" s="5">
        <v>0</v>
      </c>
      <c r="Q274" s="5">
        <v>7.3</v>
      </c>
      <c r="R274" s="5">
        <v>1.2</v>
      </c>
      <c r="S274" s="5">
        <v>34.1</v>
      </c>
      <c r="T274" s="5">
        <v>5.6</v>
      </c>
      <c r="U274" s="5">
        <v>54.3</v>
      </c>
      <c r="V274" s="5">
        <v>6</v>
      </c>
      <c r="W274" s="5">
        <f t="shared" si="9"/>
        <v>60.3</v>
      </c>
      <c r="X274" s="3">
        <v>1.0859990990411967</v>
      </c>
      <c r="Y274" t="s">
        <v>609</v>
      </c>
      <c r="Z274" s="4">
        <v>44337</v>
      </c>
      <c r="AA274" t="s">
        <v>74</v>
      </c>
      <c r="AB274" t="s">
        <v>318</v>
      </c>
      <c r="AC274" t="s">
        <v>609</v>
      </c>
      <c r="AD274" t="s">
        <v>1280</v>
      </c>
      <c r="AE274" t="s">
        <v>1365</v>
      </c>
      <c r="AF274" t="s">
        <v>1376</v>
      </c>
      <c r="AG274" s="6">
        <v>0.12</v>
      </c>
      <c r="AH274" s="11" t="s">
        <v>966</v>
      </c>
      <c r="AI274" s="5">
        <v>1.9</v>
      </c>
      <c r="AJ274" s="5" t="s">
        <v>443</v>
      </c>
      <c r="AK274" s="5">
        <v>1.5</v>
      </c>
      <c r="AL274" s="5">
        <v>9.5</v>
      </c>
      <c r="AM274" s="5">
        <v>21.6</v>
      </c>
      <c r="AN274" s="5">
        <v>9</v>
      </c>
      <c r="AO274" s="2">
        <v>25.5</v>
      </c>
      <c r="AP274" s="2">
        <v>90.6</v>
      </c>
      <c r="AQ274" s="2">
        <v>14.6</v>
      </c>
      <c r="AR274" s="2" t="s">
        <v>1371</v>
      </c>
      <c r="AS274" s="5" t="s">
        <v>609</v>
      </c>
    </row>
    <row r="275" spans="1:45" x14ac:dyDescent="0.35">
      <c r="A275" t="s">
        <v>319</v>
      </c>
      <c r="B275" t="s">
        <v>1001</v>
      </c>
      <c r="C275" t="s">
        <v>1074</v>
      </c>
      <c r="D275" s="2" t="s">
        <v>592</v>
      </c>
      <c r="E275" s="2" t="s">
        <v>1368</v>
      </c>
      <c r="F275" s="2" t="s">
        <v>716</v>
      </c>
      <c r="G275" s="3">
        <v>1122</v>
      </c>
      <c r="H275" s="3">
        <v>0</v>
      </c>
      <c r="I275" s="3">
        <v>0</v>
      </c>
      <c r="J275" s="3">
        <v>12</v>
      </c>
      <c r="K275" s="3">
        <v>646</v>
      </c>
      <c r="L275" s="3">
        <v>149</v>
      </c>
      <c r="M275" s="3">
        <v>1183</v>
      </c>
      <c r="N275" s="3">
        <v>233</v>
      </c>
      <c r="O275" s="5">
        <v>98.1</v>
      </c>
      <c r="P275" s="5">
        <v>0</v>
      </c>
      <c r="Q275" s="5">
        <v>0</v>
      </c>
      <c r="R275" s="5">
        <v>1.9</v>
      </c>
      <c r="S275" s="5">
        <v>37.6</v>
      </c>
      <c r="T275" s="5">
        <v>6.4</v>
      </c>
      <c r="U275" s="5">
        <v>40</v>
      </c>
      <c r="V275" s="5">
        <v>16</v>
      </c>
      <c r="W275" s="5">
        <f t="shared" si="9"/>
        <v>56</v>
      </c>
      <c r="X275" s="3">
        <v>1.3357567740819456</v>
      </c>
      <c r="Y275" t="s">
        <v>609</v>
      </c>
      <c r="Z275" s="4">
        <v>44337</v>
      </c>
      <c r="AA275" t="s">
        <v>74</v>
      </c>
      <c r="AB275" t="s">
        <v>320</v>
      </c>
      <c r="AC275" t="s">
        <v>609</v>
      </c>
      <c r="AD275" t="s">
        <v>1281</v>
      </c>
      <c r="AE275" t="s">
        <v>1365</v>
      </c>
      <c r="AF275" t="s">
        <v>1376</v>
      </c>
      <c r="AG275" s="6">
        <v>0.05</v>
      </c>
      <c r="AH275" s="11" t="s">
        <v>966</v>
      </c>
      <c r="AI275" s="5">
        <v>4.2</v>
      </c>
      <c r="AJ275" s="5" t="s">
        <v>443</v>
      </c>
      <c r="AK275" s="5">
        <v>3.3</v>
      </c>
      <c r="AL275" s="5">
        <v>9.5</v>
      </c>
      <c r="AM275" s="5">
        <v>19</v>
      </c>
      <c r="AN275" s="5">
        <v>9.5</v>
      </c>
      <c r="AO275" s="2">
        <v>32.4</v>
      </c>
      <c r="AP275" s="2">
        <v>32.799999999999997</v>
      </c>
      <c r="AQ275" s="2">
        <v>28.7</v>
      </c>
      <c r="AR275" s="2" t="s">
        <v>1371</v>
      </c>
      <c r="AS275" s="5" t="s">
        <v>609</v>
      </c>
    </row>
    <row r="276" spans="1:45" x14ac:dyDescent="0.35">
      <c r="A276" t="s">
        <v>321</v>
      </c>
      <c r="B276" t="s">
        <v>996</v>
      </c>
      <c r="C276" t="s">
        <v>1072</v>
      </c>
      <c r="D276" s="2" t="s">
        <v>592</v>
      </c>
      <c r="E276" s="2" t="s">
        <v>1368</v>
      </c>
      <c r="F276" s="2" t="s">
        <v>716</v>
      </c>
      <c r="G276" s="3">
        <v>361</v>
      </c>
      <c r="H276" s="3">
        <v>4</v>
      </c>
      <c r="I276" s="3">
        <v>42</v>
      </c>
      <c r="J276" s="3">
        <v>7</v>
      </c>
      <c r="K276" s="3">
        <v>120</v>
      </c>
      <c r="L276" s="3">
        <v>41</v>
      </c>
      <c r="M276" s="3">
        <v>900</v>
      </c>
      <c r="N276" s="3">
        <v>36</v>
      </c>
      <c r="O276" s="5">
        <v>84.9</v>
      </c>
      <c r="P276" s="5">
        <v>0.5</v>
      </c>
      <c r="Q276" s="5">
        <v>11.4</v>
      </c>
      <c r="R276" s="5">
        <v>3.2</v>
      </c>
      <c r="S276" s="5">
        <v>16.8</v>
      </c>
      <c r="T276" s="5">
        <v>4.2</v>
      </c>
      <c r="U276" s="5">
        <v>73</v>
      </c>
      <c r="V276" s="5">
        <v>6</v>
      </c>
      <c r="W276" s="5">
        <f t="shared" si="9"/>
        <v>79</v>
      </c>
      <c r="X276" s="3">
        <v>-4.4258078876519038</v>
      </c>
      <c r="Y276" t="s">
        <v>609</v>
      </c>
      <c r="Z276" s="4">
        <v>44338</v>
      </c>
      <c r="AA276" t="s">
        <v>6</v>
      </c>
      <c r="AB276" t="s">
        <v>322</v>
      </c>
      <c r="AC276" t="s">
        <v>609</v>
      </c>
      <c r="AD276" t="s">
        <v>1282</v>
      </c>
      <c r="AE276" t="s">
        <v>1365</v>
      </c>
      <c r="AF276" t="s">
        <v>1376</v>
      </c>
      <c r="AG276" s="6">
        <v>7.0000000000000007E-2</v>
      </c>
      <c r="AH276" s="11" t="s">
        <v>966</v>
      </c>
      <c r="AI276" s="5">
        <v>1.5</v>
      </c>
      <c r="AJ276" s="5" t="s">
        <v>443</v>
      </c>
      <c r="AK276" s="5">
        <v>1.5</v>
      </c>
      <c r="AL276" s="5">
        <v>9.5</v>
      </c>
      <c r="AM276" s="5">
        <v>14.1</v>
      </c>
      <c r="AN276" s="5">
        <v>10.1</v>
      </c>
      <c r="AO276" s="2">
        <v>27.9</v>
      </c>
      <c r="AP276" s="2">
        <v>61.2</v>
      </c>
      <c r="AQ276" s="2">
        <v>18.600000000000001</v>
      </c>
      <c r="AR276" s="2" t="s">
        <v>1371</v>
      </c>
      <c r="AS276" s="5" t="s">
        <v>609</v>
      </c>
    </row>
    <row r="277" spans="1:45" x14ac:dyDescent="0.35">
      <c r="A277" t="s">
        <v>323</v>
      </c>
      <c r="B277" t="s">
        <v>1002</v>
      </c>
      <c r="C277" t="s">
        <v>1074</v>
      </c>
      <c r="D277" s="2" t="s">
        <v>592</v>
      </c>
      <c r="E277" s="2" t="s">
        <v>1368</v>
      </c>
      <c r="F277" s="2" t="s">
        <v>716</v>
      </c>
      <c r="G277" s="3">
        <v>408</v>
      </c>
      <c r="H277" s="3">
        <v>0</v>
      </c>
      <c r="I277" s="3">
        <v>28</v>
      </c>
      <c r="J277" s="3">
        <v>3</v>
      </c>
      <c r="K277" s="3">
        <v>188</v>
      </c>
      <c r="L277" s="3">
        <v>49</v>
      </c>
      <c r="M277" s="3">
        <v>740</v>
      </c>
      <c r="N277" s="3">
        <v>36</v>
      </c>
      <c r="O277" s="5">
        <v>91.4</v>
      </c>
      <c r="P277" s="5">
        <v>0</v>
      </c>
      <c r="Q277" s="5">
        <v>7.1</v>
      </c>
      <c r="R277" s="5">
        <v>1.5</v>
      </c>
      <c r="S277" s="5">
        <v>27</v>
      </c>
      <c r="T277" s="5">
        <v>5.2</v>
      </c>
      <c r="U277" s="5">
        <v>61.6</v>
      </c>
      <c r="V277" s="5">
        <v>6.2</v>
      </c>
      <c r="W277" s="5">
        <f t="shared" si="9"/>
        <v>67.8</v>
      </c>
      <c r="X277" s="3">
        <v>-0.66504873358347616</v>
      </c>
      <c r="Y277" t="s">
        <v>609</v>
      </c>
      <c r="Z277" s="4">
        <v>44338</v>
      </c>
      <c r="AA277" t="s">
        <v>6</v>
      </c>
      <c r="AB277" t="s">
        <v>324</v>
      </c>
      <c r="AC277" t="s">
        <v>609</v>
      </c>
      <c r="AD277" t="s">
        <v>1283</v>
      </c>
      <c r="AE277" t="s">
        <v>1365</v>
      </c>
      <c r="AF277" t="s">
        <v>1376</v>
      </c>
      <c r="AG277" s="6">
        <v>0.11</v>
      </c>
      <c r="AH277" s="11" t="s">
        <v>966</v>
      </c>
      <c r="AI277" s="5">
        <v>1.7</v>
      </c>
      <c r="AJ277" s="5" t="s">
        <v>443</v>
      </c>
      <c r="AK277" s="5">
        <v>1.5</v>
      </c>
      <c r="AL277" s="5">
        <v>9.6999999999999993</v>
      </c>
      <c r="AM277" s="5">
        <v>14.5</v>
      </c>
      <c r="AN277" s="5">
        <v>10.4</v>
      </c>
      <c r="AO277" s="2">
        <v>15.3</v>
      </c>
      <c r="AP277" s="2">
        <v>27.1</v>
      </c>
      <c r="AQ277" s="2">
        <v>14.4</v>
      </c>
      <c r="AR277" s="2" t="s">
        <v>1371</v>
      </c>
      <c r="AS277" s="5" t="s">
        <v>609</v>
      </c>
    </row>
    <row r="278" spans="1:45" x14ac:dyDescent="0.35">
      <c r="A278" t="s">
        <v>325</v>
      </c>
      <c r="B278" t="s">
        <v>1002</v>
      </c>
      <c r="C278" t="s">
        <v>1073</v>
      </c>
      <c r="D278" s="2" t="s">
        <v>592</v>
      </c>
      <c r="E278" s="2" t="s">
        <v>1368</v>
      </c>
      <c r="F278" s="2" t="s">
        <v>716</v>
      </c>
      <c r="G278" s="3">
        <v>489</v>
      </c>
      <c r="H278" s="3">
        <v>0</v>
      </c>
      <c r="I278" s="3">
        <v>17</v>
      </c>
      <c r="J278" s="3">
        <v>3</v>
      </c>
      <c r="K278" s="3">
        <v>230</v>
      </c>
      <c r="L278" s="3">
        <v>56</v>
      </c>
      <c r="M278" s="3">
        <v>950</v>
      </c>
      <c r="N278" s="3">
        <v>36</v>
      </c>
      <c r="O278" s="5">
        <v>95.1</v>
      </c>
      <c r="P278" s="5">
        <v>0</v>
      </c>
      <c r="Q278" s="5">
        <v>3.9</v>
      </c>
      <c r="R278" s="5">
        <v>1</v>
      </c>
      <c r="S278" s="5">
        <v>26.5</v>
      </c>
      <c r="T278" s="5">
        <v>4.7</v>
      </c>
      <c r="U278" s="5">
        <v>63.8</v>
      </c>
      <c r="V278" s="5">
        <v>5</v>
      </c>
      <c r="W278" s="5">
        <f t="shared" si="9"/>
        <v>68.8</v>
      </c>
      <c r="X278" s="3">
        <v>-4.3970313915216561</v>
      </c>
      <c r="Y278" t="s">
        <v>609</v>
      </c>
      <c r="Z278" s="4">
        <v>44338</v>
      </c>
      <c r="AA278" t="s">
        <v>6</v>
      </c>
      <c r="AB278" t="s">
        <v>326</v>
      </c>
      <c r="AC278" t="s">
        <v>609</v>
      </c>
      <c r="AD278" t="s">
        <v>1284</v>
      </c>
      <c r="AE278" t="s">
        <v>1365</v>
      </c>
      <c r="AF278" t="s">
        <v>1376</v>
      </c>
      <c r="AG278" s="6">
        <v>0.05</v>
      </c>
      <c r="AH278" s="11" t="s">
        <v>966</v>
      </c>
      <c r="AI278" s="5">
        <v>2</v>
      </c>
      <c r="AJ278" s="5" t="s">
        <v>443</v>
      </c>
      <c r="AK278" s="5">
        <v>1.8</v>
      </c>
      <c r="AL278" s="5">
        <v>9.6</v>
      </c>
      <c r="AM278" s="5">
        <v>17</v>
      </c>
      <c r="AN278" s="5">
        <v>9.9</v>
      </c>
      <c r="AO278" s="2">
        <v>20.9</v>
      </c>
      <c r="AP278" s="2">
        <v>56.9</v>
      </c>
      <c r="AQ278" s="2">
        <v>42.5</v>
      </c>
      <c r="AR278" s="2" t="s">
        <v>1371</v>
      </c>
      <c r="AS278" s="5" t="s">
        <v>609</v>
      </c>
    </row>
    <row r="279" spans="1:45" x14ac:dyDescent="0.35">
      <c r="A279" t="s">
        <v>327</v>
      </c>
      <c r="B279" t="s">
        <v>1003</v>
      </c>
      <c r="C279" t="s">
        <v>1070</v>
      </c>
      <c r="D279" s="2" t="s">
        <v>592</v>
      </c>
      <c r="E279" s="2" t="s">
        <v>1368</v>
      </c>
      <c r="F279" s="2" t="s">
        <v>716</v>
      </c>
      <c r="G279" s="3">
        <v>1567</v>
      </c>
      <c r="H279" s="3">
        <v>0</v>
      </c>
      <c r="I279" s="3">
        <v>9</v>
      </c>
      <c r="J279" s="3">
        <v>17</v>
      </c>
      <c r="K279" s="3">
        <v>593</v>
      </c>
      <c r="L279" s="3">
        <v>379</v>
      </c>
      <c r="M279" s="3">
        <v>2189</v>
      </c>
      <c r="N279" s="3">
        <v>204</v>
      </c>
      <c r="O279" s="5">
        <v>97.3</v>
      </c>
      <c r="P279" s="5">
        <v>0</v>
      </c>
      <c r="Q279" s="5">
        <v>0.6</v>
      </c>
      <c r="R279" s="5">
        <v>2</v>
      </c>
      <c r="S279" s="5">
        <v>24.9</v>
      </c>
      <c r="T279" s="5">
        <v>11.7</v>
      </c>
      <c r="U279" s="5">
        <v>53.3</v>
      </c>
      <c r="V279" s="5">
        <v>10.1</v>
      </c>
      <c r="W279" s="5">
        <f t="shared" si="9"/>
        <v>63.4</v>
      </c>
      <c r="X279" s="3">
        <v>1.9782715446795747</v>
      </c>
      <c r="Y279" t="s">
        <v>609</v>
      </c>
      <c r="Z279" s="4">
        <v>44342</v>
      </c>
      <c r="AA279" t="s">
        <v>838</v>
      </c>
      <c r="AB279" t="s">
        <v>328</v>
      </c>
      <c r="AC279" t="s">
        <v>609</v>
      </c>
      <c r="AD279" t="s">
        <v>1285</v>
      </c>
      <c r="AE279" t="s">
        <v>1365</v>
      </c>
      <c r="AF279" t="s">
        <v>1376</v>
      </c>
      <c r="AG279" s="6">
        <v>0.15</v>
      </c>
      <c r="AH279" s="11" t="s">
        <v>966</v>
      </c>
      <c r="AI279" s="5">
        <v>5.6</v>
      </c>
      <c r="AJ279" s="5" t="s">
        <v>443</v>
      </c>
      <c r="AK279" s="5">
        <v>5</v>
      </c>
      <c r="AL279" s="5">
        <v>9.1</v>
      </c>
      <c r="AM279" s="5">
        <v>24.2</v>
      </c>
      <c r="AN279" s="5">
        <v>8.1</v>
      </c>
      <c r="AO279" s="2">
        <v>0</v>
      </c>
      <c r="AP279" s="2">
        <v>51.6</v>
      </c>
      <c r="AQ279" s="2">
        <v>10</v>
      </c>
      <c r="AR279" s="2" t="s">
        <v>1371</v>
      </c>
      <c r="AS279" s="5" t="s">
        <v>609</v>
      </c>
    </row>
    <row r="280" spans="1:45" x14ac:dyDescent="0.35">
      <c r="A280" t="s">
        <v>329</v>
      </c>
      <c r="B280" t="s">
        <v>1003</v>
      </c>
      <c r="C280" t="s">
        <v>1069</v>
      </c>
      <c r="D280" s="2" t="s">
        <v>592</v>
      </c>
      <c r="E280" s="2" t="s">
        <v>1368</v>
      </c>
      <c r="F280" s="2" t="s">
        <v>716</v>
      </c>
      <c r="G280" s="3">
        <v>1594</v>
      </c>
      <c r="H280" s="3">
        <v>0</v>
      </c>
      <c r="I280" s="3">
        <v>15</v>
      </c>
      <c r="J280" s="3">
        <v>25</v>
      </c>
      <c r="K280" s="3">
        <v>591</v>
      </c>
      <c r="L280" s="3">
        <v>378</v>
      </c>
      <c r="M280" s="3">
        <v>2248</v>
      </c>
      <c r="N280" s="3">
        <v>233</v>
      </c>
      <c r="O280" s="5">
        <v>96.1</v>
      </c>
      <c r="P280" s="5">
        <v>0</v>
      </c>
      <c r="Q280" s="5">
        <v>1.1000000000000001</v>
      </c>
      <c r="R280" s="5">
        <v>2.8</v>
      </c>
      <c r="S280" s="5">
        <v>24.1</v>
      </c>
      <c r="T280" s="5">
        <v>11.4</v>
      </c>
      <c r="U280" s="5">
        <v>53.3</v>
      </c>
      <c r="V280" s="5">
        <v>11.2</v>
      </c>
      <c r="W280" s="5">
        <f t="shared" si="9"/>
        <v>64.5</v>
      </c>
      <c r="X280" s="3">
        <v>2.1177239493630005</v>
      </c>
      <c r="Y280" t="s">
        <v>609</v>
      </c>
      <c r="Z280" s="4">
        <v>44342</v>
      </c>
      <c r="AA280" t="s">
        <v>838</v>
      </c>
      <c r="AB280" t="s">
        <v>330</v>
      </c>
      <c r="AC280" t="s">
        <v>609</v>
      </c>
      <c r="AD280" t="s">
        <v>1286</v>
      </c>
      <c r="AE280" t="s">
        <v>1365</v>
      </c>
      <c r="AF280" t="s">
        <v>1376</v>
      </c>
      <c r="AG280" s="6">
        <v>0.13</v>
      </c>
      <c r="AH280" s="11" t="s">
        <v>966</v>
      </c>
      <c r="AI280" s="5">
        <v>5.7</v>
      </c>
      <c r="AJ280" s="5" t="s">
        <v>443</v>
      </c>
      <c r="AK280" s="5">
        <v>5.0999999999999996</v>
      </c>
      <c r="AL280" s="5">
        <v>9</v>
      </c>
      <c r="AM280" s="5">
        <v>26.3</v>
      </c>
      <c r="AN280" s="5">
        <v>8.1999999999999993</v>
      </c>
      <c r="AO280" s="2">
        <v>0</v>
      </c>
      <c r="AP280" s="2">
        <v>66.599999999999994</v>
      </c>
      <c r="AQ280" s="2">
        <v>49.8</v>
      </c>
      <c r="AR280" s="2" t="s">
        <v>1371</v>
      </c>
      <c r="AS280" s="5" t="s">
        <v>609</v>
      </c>
    </row>
    <row r="281" spans="1:45" x14ac:dyDescent="0.35">
      <c r="A281" t="s">
        <v>331</v>
      </c>
      <c r="B281" t="s">
        <v>1081</v>
      </c>
      <c r="C281" t="s">
        <v>1080</v>
      </c>
      <c r="D281" s="2" t="s">
        <v>592</v>
      </c>
      <c r="E281" s="2" t="s">
        <v>1368</v>
      </c>
      <c r="F281" s="2" t="s">
        <v>619</v>
      </c>
      <c r="G281" s="3">
        <v>17</v>
      </c>
      <c r="H281" s="3">
        <v>2</v>
      </c>
      <c r="I281" s="3">
        <v>45</v>
      </c>
      <c r="J281" s="3">
        <v>16</v>
      </c>
      <c r="K281" s="3">
        <v>23</v>
      </c>
      <c r="L281" s="3">
        <v>35</v>
      </c>
      <c r="M281" s="3">
        <v>185</v>
      </c>
      <c r="N281" s="3">
        <v>0</v>
      </c>
      <c r="O281" s="5">
        <v>17.5</v>
      </c>
      <c r="P281" s="5">
        <v>1.1000000000000001</v>
      </c>
      <c r="Q281" s="5">
        <v>51.8</v>
      </c>
      <c r="R281" s="5">
        <v>29.7</v>
      </c>
      <c r="S281" s="5">
        <v>14.8</v>
      </c>
      <c r="T281" s="5">
        <v>16.600000000000001</v>
      </c>
      <c r="U281" s="5">
        <v>68.599999999999994</v>
      </c>
      <c r="V281" s="5">
        <v>0</v>
      </c>
      <c r="W281" s="5">
        <f t="shared" si="9"/>
        <v>68.599999999999994</v>
      </c>
      <c r="X281" s="3">
        <v>-0.64276539672103183</v>
      </c>
      <c r="Y281" t="s">
        <v>609</v>
      </c>
      <c r="Z281" s="4">
        <v>44343</v>
      </c>
      <c r="AA281" t="s">
        <v>332</v>
      </c>
      <c r="AB281" t="s">
        <v>333</v>
      </c>
      <c r="AC281" t="s">
        <v>609</v>
      </c>
      <c r="AD281" t="s">
        <v>1287</v>
      </c>
      <c r="AE281" t="s">
        <v>1365</v>
      </c>
      <c r="AF281" t="s">
        <v>1376</v>
      </c>
      <c r="AG281" s="6">
        <v>0.15</v>
      </c>
      <c r="AH281" s="11" t="s">
        <v>966</v>
      </c>
      <c r="AI281" s="5">
        <v>0.5</v>
      </c>
      <c r="AJ281" s="5" t="s">
        <v>443</v>
      </c>
      <c r="AK281" s="5">
        <v>0.3</v>
      </c>
      <c r="AL281" s="5">
        <v>8.3000000000000007</v>
      </c>
      <c r="AM281" s="5">
        <v>21.8</v>
      </c>
      <c r="AN281" s="5">
        <v>10.6</v>
      </c>
      <c r="AO281" s="2">
        <v>14</v>
      </c>
      <c r="AP281" s="2">
        <v>5.7</v>
      </c>
      <c r="AQ281" s="2">
        <v>4</v>
      </c>
      <c r="AR281" s="2" t="s">
        <v>1371</v>
      </c>
      <c r="AS281" s="5" t="s">
        <v>609</v>
      </c>
    </row>
    <row r="282" spans="1:45" x14ac:dyDescent="0.35">
      <c r="A282" t="s">
        <v>334</v>
      </c>
      <c r="B282" t="s">
        <v>1081</v>
      </c>
      <c r="C282" t="s">
        <v>1082</v>
      </c>
      <c r="D282" s="2" t="s">
        <v>592</v>
      </c>
      <c r="E282" s="2" t="s">
        <v>1368</v>
      </c>
      <c r="F282" s="2" t="s">
        <v>716</v>
      </c>
      <c r="G282" s="3">
        <v>255</v>
      </c>
      <c r="H282" s="3">
        <v>5</v>
      </c>
      <c r="I282" s="3">
        <v>28</v>
      </c>
      <c r="J282" s="3">
        <v>16</v>
      </c>
      <c r="K282" s="3">
        <v>52</v>
      </c>
      <c r="L282" s="3">
        <v>124</v>
      </c>
      <c r="M282" s="3">
        <v>670</v>
      </c>
      <c r="N282" s="3">
        <v>0</v>
      </c>
      <c r="O282" s="5">
        <v>79.900000000000006</v>
      </c>
      <c r="P282" s="5">
        <v>0.9</v>
      </c>
      <c r="Q282" s="5">
        <v>10</v>
      </c>
      <c r="R282" s="5">
        <v>9.3000000000000007</v>
      </c>
      <c r="S282" s="5">
        <v>9.8000000000000007</v>
      </c>
      <c r="T282" s="5">
        <v>17.100000000000001</v>
      </c>
      <c r="U282" s="5">
        <v>73</v>
      </c>
      <c r="V282" s="5">
        <v>0</v>
      </c>
      <c r="W282" s="5">
        <f t="shared" si="9"/>
        <v>73</v>
      </c>
      <c r="X282" s="3">
        <v>-3.7802459412126845</v>
      </c>
      <c r="Y282" t="s">
        <v>609</v>
      </c>
      <c r="Z282" s="4">
        <v>44343</v>
      </c>
      <c r="AA282" t="s">
        <v>332</v>
      </c>
      <c r="AB282" t="s">
        <v>335</v>
      </c>
      <c r="AC282" t="s">
        <v>609</v>
      </c>
      <c r="AD282" t="s">
        <v>1288</v>
      </c>
      <c r="AE282" t="s">
        <v>1365</v>
      </c>
      <c r="AF282" t="s">
        <v>1376</v>
      </c>
      <c r="AG282" s="6">
        <v>0.22</v>
      </c>
      <c r="AH282" s="11" t="s">
        <v>966</v>
      </c>
      <c r="AI282" s="5">
        <v>1.3</v>
      </c>
      <c r="AJ282" s="5" t="s">
        <v>443</v>
      </c>
      <c r="AK282" s="5">
        <v>1.2</v>
      </c>
      <c r="AL282" s="5">
        <v>8.1999999999999993</v>
      </c>
      <c r="AM282" s="5">
        <v>23.4</v>
      </c>
      <c r="AN282" s="5">
        <v>4.4000000000000004</v>
      </c>
      <c r="AO282" s="2">
        <v>34.4</v>
      </c>
      <c r="AP282" s="2">
        <v>65.900000000000006</v>
      </c>
      <c r="AQ282" s="2">
        <v>46.4</v>
      </c>
      <c r="AR282" s="2" t="s">
        <v>1371</v>
      </c>
      <c r="AS282" s="5" t="s">
        <v>609</v>
      </c>
    </row>
    <row r="283" spans="1:45" x14ac:dyDescent="0.35">
      <c r="A283" t="s">
        <v>336</v>
      </c>
      <c r="B283" t="s">
        <v>1081</v>
      </c>
      <c r="C283" t="s">
        <v>1083</v>
      </c>
      <c r="D283" s="2" t="s">
        <v>592</v>
      </c>
      <c r="E283" s="2" t="s">
        <v>1368</v>
      </c>
      <c r="F283" s="2" t="s">
        <v>619</v>
      </c>
      <c r="G283" s="3">
        <v>96</v>
      </c>
      <c r="H283" s="3">
        <v>2</v>
      </c>
      <c r="I283" s="3">
        <v>55</v>
      </c>
      <c r="J283" s="3">
        <v>23</v>
      </c>
      <c r="K283" s="3">
        <v>33</v>
      </c>
      <c r="L283" s="3">
        <v>21</v>
      </c>
      <c r="M283" s="3">
        <v>414</v>
      </c>
      <c r="N283" s="3">
        <v>0</v>
      </c>
      <c r="O283" s="5">
        <v>47</v>
      </c>
      <c r="P283" s="5">
        <v>0.7</v>
      </c>
      <c r="Q283" s="5">
        <v>30.8</v>
      </c>
      <c r="R283" s="5">
        <v>21.5</v>
      </c>
      <c r="S283" s="5">
        <v>11.3</v>
      </c>
      <c r="T283" s="5">
        <v>5.5</v>
      </c>
      <c r="U283" s="5">
        <v>83.2</v>
      </c>
      <c r="V283" s="5">
        <v>0</v>
      </c>
      <c r="W283" s="5">
        <f t="shared" si="9"/>
        <v>83.2</v>
      </c>
      <c r="X283" s="3">
        <v>4.1817673767407264</v>
      </c>
      <c r="Y283" t="s">
        <v>609</v>
      </c>
      <c r="Z283" s="4">
        <v>44343</v>
      </c>
      <c r="AA283" t="s">
        <v>332</v>
      </c>
      <c r="AB283" t="s">
        <v>337</v>
      </c>
      <c r="AC283" t="s">
        <v>609</v>
      </c>
      <c r="AD283" t="s">
        <v>1289</v>
      </c>
      <c r="AE283" t="s">
        <v>1365</v>
      </c>
      <c r="AF283" t="s">
        <v>1376</v>
      </c>
      <c r="AG283" s="6">
        <v>0.24</v>
      </c>
      <c r="AH283" s="11" t="s">
        <v>966</v>
      </c>
      <c r="AI283" s="5">
        <v>0.8</v>
      </c>
      <c r="AJ283" s="5" t="s">
        <v>443</v>
      </c>
      <c r="AK283" s="5">
        <v>0.6</v>
      </c>
      <c r="AL283" s="5">
        <v>8.1</v>
      </c>
      <c r="AM283" s="5">
        <v>25.7</v>
      </c>
      <c r="AN283" s="5">
        <v>7.8</v>
      </c>
      <c r="AO283" s="2">
        <v>1.9</v>
      </c>
      <c r="AP283" s="2">
        <v>13.9</v>
      </c>
      <c r="AQ283" s="2">
        <v>13.3</v>
      </c>
      <c r="AR283" s="2" t="s">
        <v>1371</v>
      </c>
      <c r="AS283" s="5" t="s">
        <v>609</v>
      </c>
    </row>
    <row r="284" spans="1:45" x14ac:dyDescent="0.35">
      <c r="A284" t="s">
        <v>338</v>
      </c>
      <c r="B284" t="s">
        <v>967</v>
      </c>
      <c r="C284" t="s">
        <v>972</v>
      </c>
      <c r="D284" s="2" t="s">
        <v>592</v>
      </c>
      <c r="E284" s="2" t="s">
        <v>1368</v>
      </c>
      <c r="F284" s="2" t="s">
        <v>716</v>
      </c>
      <c r="G284" s="3">
        <v>722</v>
      </c>
      <c r="H284" s="3">
        <v>49</v>
      </c>
      <c r="I284" s="3">
        <v>16</v>
      </c>
      <c r="J284" s="3">
        <v>249</v>
      </c>
      <c r="K284" s="3">
        <v>516</v>
      </c>
      <c r="L284" s="3">
        <v>849</v>
      </c>
      <c r="M284" s="3">
        <v>1124</v>
      </c>
      <c r="N284" s="3">
        <v>87</v>
      </c>
      <c r="O284" s="5">
        <v>58.2</v>
      </c>
      <c r="P284" s="5">
        <v>2.2999999999999998</v>
      </c>
      <c r="Q284" s="5">
        <v>1.4</v>
      </c>
      <c r="R284" s="5">
        <v>38</v>
      </c>
      <c r="S284" s="5">
        <v>27.2</v>
      </c>
      <c r="T284" s="5">
        <v>33</v>
      </c>
      <c r="U284" s="5">
        <v>34.4</v>
      </c>
      <c r="V284" s="5">
        <v>5.4</v>
      </c>
      <c r="W284" s="5">
        <f t="shared" si="9"/>
        <v>39.799999999999997</v>
      </c>
      <c r="X284" s="3">
        <v>0.37025230326132963</v>
      </c>
      <c r="Y284" t="s">
        <v>609</v>
      </c>
      <c r="Z284" s="4">
        <v>44348</v>
      </c>
      <c r="AA284" t="s">
        <v>205</v>
      </c>
      <c r="AB284" t="s">
        <v>339</v>
      </c>
      <c r="AC284" t="s">
        <v>609</v>
      </c>
      <c r="AD284" t="s">
        <v>1290</v>
      </c>
      <c r="AE284" t="s">
        <v>1365</v>
      </c>
      <c r="AF284" t="s">
        <v>1376</v>
      </c>
      <c r="AG284" s="6">
        <v>0.25</v>
      </c>
      <c r="AH284" s="11" t="s">
        <v>966</v>
      </c>
      <c r="AI284" s="5">
        <v>4.2</v>
      </c>
      <c r="AJ284" s="5" t="s">
        <v>443</v>
      </c>
      <c r="AK284" s="5">
        <v>3.6</v>
      </c>
      <c r="AL284" s="5">
        <v>9</v>
      </c>
      <c r="AM284" s="5">
        <v>21.2</v>
      </c>
      <c r="AN284" s="5">
        <v>8.6999999999999993</v>
      </c>
      <c r="AO284" s="2">
        <v>5.0999999999999996</v>
      </c>
      <c r="AP284" s="2">
        <v>41</v>
      </c>
      <c r="AQ284" s="2">
        <v>37.700000000000003</v>
      </c>
      <c r="AR284" s="2" t="s">
        <v>1371</v>
      </c>
      <c r="AS284" s="5" t="s">
        <v>609</v>
      </c>
    </row>
    <row r="285" spans="1:45" x14ac:dyDescent="0.35">
      <c r="A285" t="s">
        <v>340</v>
      </c>
      <c r="B285" t="s">
        <v>798</v>
      </c>
      <c r="C285" t="s">
        <v>1065</v>
      </c>
      <c r="D285" s="2" t="s">
        <v>592</v>
      </c>
      <c r="E285" s="2" t="s">
        <v>1368</v>
      </c>
      <c r="F285" s="2" t="s">
        <v>718</v>
      </c>
      <c r="G285" s="3">
        <v>1766</v>
      </c>
      <c r="H285" s="3">
        <v>93</v>
      </c>
      <c r="I285" s="3">
        <v>0</v>
      </c>
      <c r="J285" s="3">
        <v>550</v>
      </c>
      <c r="K285" s="3">
        <v>1305</v>
      </c>
      <c r="L285" s="3">
        <v>2067</v>
      </c>
      <c r="M285" s="3">
        <v>1893</v>
      </c>
      <c r="N285" s="3">
        <v>291</v>
      </c>
      <c r="O285" s="5">
        <v>61.7</v>
      </c>
      <c r="P285" s="5">
        <v>1.9</v>
      </c>
      <c r="Q285" s="5">
        <v>0</v>
      </c>
      <c r="R285" s="5">
        <v>36.4</v>
      </c>
      <c r="S285" s="5">
        <v>30.5</v>
      </c>
      <c r="T285" s="5">
        <v>35.700000000000003</v>
      </c>
      <c r="U285" s="5">
        <v>25.7</v>
      </c>
      <c r="V285" s="5">
        <v>8</v>
      </c>
      <c r="W285" s="5">
        <f t="shared" si="9"/>
        <v>33.700000000000003</v>
      </c>
      <c r="X285" s="3">
        <v>1.5881080615412875</v>
      </c>
      <c r="Y285" t="s">
        <v>609</v>
      </c>
      <c r="Z285" s="4">
        <v>44348</v>
      </c>
      <c r="AA285" t="s">
        <v>205</v>
      </c>
      <c r="AB285" t="s">
        <v>341</v>
      </c>
      <c r="AC285" t="s">
        <v>609</v>
      </c>
      <c r="AD285" t="s">
        <v>1291</v>
      </c>
      <c r="AE285" t="s">
        <v>1365</v>
      </c>
      <c r="AF285" t="s">
        <v>1376</v>
      </c>
      <c r="AG285" s="6">
        <v>0.05</v>
      </c>
      <c r="AH285" s="11" t="s">
        <v>966</v>
      </c>
      <c r="AI285" s="5">
        <v>8.5</v>
      </c>
      <c r="AJ285" s="5" t="s">
        <v>443</v>
      </c>
      <c r="AK285" s="5">
        <v>8</v>
      </c>
      <c r="AL285" s="5">
        <v>9.4</v>
      </c>
      <c r="AM285" s="5">
        <v>23.9</v>
      </c>
      <c r="AN285" s="5">
        <v>11.4</v>
      </c>
      <c r="AO285" s="2">
        <v>0</v>
      </c>
      <c r="AP285" s="2">
        <v>141</v>
      </c>
      <c r="AQ285" s="2">
        <v>88</v>
      </c>
      <c r="AR285" s="2" t="s">
        <v>1371</v>
      </c>
      <c r="AS285" s="5" t="s">
        <v>609</v>
      </c>
    </row>
    <row r="286" spans="1:45" x14ac:dyDescent="0.35">
      <c r="A286" t="s">
        <v>342</v>
      </c>
      <c r="B286" t="s">
        <v>975</v>
      </c>
      <c r="C286" t="s">
        <v>1056</v>
      </c>
      <c r="D286" s="2" t="s">
        <v>592</v>
      </c>
      <c r="E286" s="2" t="s">
        <v>1368</v>
      </c>
      <c r="F286" s="2" t="s">
        <v>716</v>
      </c>
      <c r="G286" s="3">
        <v>424</v>
      </c>
      <c r="H286" s="3">
        <v>35</v>
      </c>
      <c r="I286" s="3">
        <v>26</v>
      </c>
      <c r="J286" s="3">
        <v>158</v>
      </c>
      <c r="K286" s="3">
        <v>315</v>
      </c>
      <c r="L286" s="3">
        <v>500</v>
      </c>
      <c r="M286" s="3">
        <v>769</v>
      </c>
      <c r="N286" s="3">
        <v>58</v>
      </c>
      <c r="O286" s="5">
        <v>54.8</v>
      </c>
      <c r="P286" s="5">
        <v>2.6</v>
      </c>
      <c r="Q286" s="5">
        <v>3.9</v>
      </c>
      <c r="R286" s="5">
        <v>38.6</v>
      </c>
      <c r="S286" s="5">
        <v>26.3</v>
      </c>
      <c r="T286" s="5">
        <v>30.8</v>
      </c>
      <c r="U286" s="5">
        <v>37.200000000000003</v>
      </c>
      <c r="V286" s="5">
        <v>5.7</v>
      </c>
      <c r="W286" s="5">
        <f t="shared" si="9"/>
        <v>42.900000000000006</v>
      </c>
      <c r="X286" s="3">
        <v>-0.28487940274315748</v>
      </c>
      <c r="Y286" t="s">
        <v>609</v>
      </c>
      <c r="Z286" s="4">
        <v>44348</v>
      </c>
      <c r="AA286" t="s">
        <v>55</v>
      </c>
      <c r="AB286" t="s">
        <v>57</v>
      </c>
      <c r="AC286" t="s">
        <v>609</v>
      </c>
      <c r="AD286" t="s">
        <v>1292</v>
      </c>
      <c r="AE286" t="s">
        <v>1365</v>
      </c>
      <c r="AF286" t="s">
        <v>1376</v>
      </c>
      <c r="AG286" s="6">
        <v>1.2</v>
      </c>
      <c r="AH286" s="11" t="s">
        <v>966</v>
      </c>
      <c r="AI286" s="5">
        <v>2.8</v>
      </c>
      <c r="AJ286" s="5" t="s">
        <v>443</v>
      </c>
      <c r="AK286" s="5">
        <v>2.2999999999999998</v>
      </c>
      <c r="AL286" s="5">
        <v>8.6999999999999993</v>
      </c>
      <c r="AM286" s="5">
        <v>24.6</v>
      </c>
      <c r="AN286" s="5">
        <v>9.1</v>
      </c>
      <c r="AO286" s="2">
        <v>4.7</v>
      </c>
      <c r="AP286" s="2">
        <v>36</v>
      </c>
      <c r="AQ286" s="2">
        <v>30</v>
      </c>
      <c r="AR286" s="2" t="s">
        <v>1371</v>
      </c>
      <c r="AS286" s="5" t="s">
        <v>609</v>
      </c>
    </row>
    <row r="287" spans="1:45" x14ac:dyDescent="0.35">
      <c r="A287" t="s">
        <v>343</v>
      </c>
      <c r="B287" t="s">
        <v>975</v>
      </c>
      <c r="C287" t="s">
        <v>1086</v>
      </c>
      <c r="D287" s="2" t="s">
        <v>592</v>
      </c>
      <c r="E287" s="2" t="s">
        <v>1368</v>
      </c>
      <c r="F287" s="2" t="s">
        <v>716</v>
      </c>
      <c r="G287" s="3">
        <v>410</v>
      </c>
      <c r="H287" s="3">
        <v>33</v>
      </c>
      <c r="I287" s="3">
        <v>16</v>
      </c>
      <c r="J287" s="3">
        <v>151</v>
      </c>
      <c r="K287" s="3">
        <v>315</v>
      </c>
      <c r="L287" s="3">
        <v>502</v>
      </c>
      <c r="M287" s="3">
        <v>769</v>
      </c>
      <c r="N287" s="3">
        <v>29</v>
      </c>
      <c r="O287" s="5">
        <v>55.9</v>
      </c>
      <c r="P287" s="5">
        <v>2.6</v>
      </c>
      <c r="Q287" s="5">
        <v>2.5</v>
      </c>
      <c r="R287" s="5">
        <v>39</v>
      </c>
      <c r="S287" s="5">
        <v>27</v>
      </c>
      <c r="T287" s="5">
        <v>31.8</v>
      </c>
      <c r="U287" s="5">
        <v>38.299999999999997</v>
      </c>
      <c r="V287" s="5">
        <v>2.9</v>
      </c>
      <c r="W287" s="5">
        <f t="shared" si="9"/>
        <v>41.199999999999996</v>
      </c>
      <c r="X287" s="3">
        <v>-1.5467010671329851</v>
      </c>
      <c r="Y287" t="s">
        <v>609</v>
      </c>
      <c r="Z287" s="4">
        <v>44348</v>
      </c>
      <c r="AA287" t="s">
        <v>55</v>
      </c>
      <c r="AB287" t="s">
        <v>344</v>
      </c>
      <c r="AC287" t="s">
        <v>609</v>
      </c>
      <c r="AD287" t="s">
        <v>1293</v>
      </c>
      <c r="AE287" t="s">
        <v>1365</v>
      </c>
      <c r="AF287" t="s">
        <v>1376</v>
      </c>
      <c r="AG287" s="6">
        <v>1.48</v>
      </c>
      <c r="AH287" s="11" t="s">
        <v>966</v>
      </c>
      <c r="AI287" s="5">
        <v>2.8</v>
      </c>
      <c r="AJ287" s="5" t="s">
        <v>443</v>
      </c>
      <c r="AK287" s="5">
        <v>2.2000000000000002</v>
      </c>
      <c r="AL287" s="5">
        <v>8.8000000000000007</v>
      </c>
      <c r="AM287" s="5">
        <v>24.6</v>
      </c>
      <c r="AN287" s="5">
        <v>9.9</v>
      </c>
      <c r="AO287" s="2">
        <v>20.8</v>
      </c>
      <c r="AP287" s="2">
        <v>26.5</v>
      </c>
      <c r="AQ287" s="2">
        <v>24.9</v>
      </c>
      <c r="AR287" s="2" t="s">
        <v>1371</v>
      </c>
      <c r="AS287" s="5" t="s">
        <v>609</v>
      </c>
    </row>
    <row r="288" spans="1:45" x14ac:dyDescent="0.35">
      <c r="A288" t="s">
        <v>345</v>
      </c>
      <c r="B288" t="s">
        <v>975</v>
      </c>
      <c r="C288" t="s">
        <v>1055</v>
      </c>
      <c r="D288" s="2" t="s">
        <v>592</v>
      </c>
      <c r="E288" s="2" t="s">
        <v>1368</v>
      </c>
      <c r="F288" s="2" t="s">
        <v>716</v>
      </c>
      <c r="G288" s="3">
        <v>426</v>
      </c>
      <c r="H288" s="3">
        <v>34</v>
      </c>
      <c r="I288" s="3">
        <v>16</v>
      </c>
      <c r="J288" s="3">
        <v>156</v>
      </c>
      <c r="K288" s="3">
        <v>329</v>
      </c>
      <c r="L288" s="3">
        <v>524</v>
      </c>
      <c r="M288" s="3">
        <v>769</v>
      </c>
      <c r="N288" s="3">
        <v>29</v>
      </c>
      <c r="O288" s="5">
        <v>56</v>
      </c>
      <c r="P288" s="5">
        <v>2.6</v>
      </c>
      <c r="Q288" s="5">
        <v>2.4</v>
      </c>
      <c r="R288" s="5">
        <v>39</v>
      </c>
      <c r="S288" s="5">
        <v>27.5</v>
      </c>
      <c r="T288" s="5">
        <v>32.299999999999997</v>
      </c>
      <c r="U288" s="5">
        <v>37.299999999999997</v>
      </c>
      <c r="V288" s="5">
        <v>2.9</v>
      </c>
      <c r="W288" s="5">
        <f t="shared" si="9"/>
        <v>40.199999999999996</v>
      </c>
      <c r="X288" s="3">
        <v>-1.0814081387285841</v>
      </c>
      <c r="Y288" t="s">
        <v>609</v>
      </c>
      <c r="Z288" s="4">
        <v>44348</v>
      </c>
      <c r="AA288" t="s">
        <v>55</v>
      </c>
      <c r="AB288" t="s">
        <v>346</v>
      </c>
      <c r="AC288" t="s">
        <v>609</v>
      </c>
      <c r="AD288" t="s">
        <v>1294</v>
      </c>
      <c r="AE288" t="s">
        <v>1365</v>
      </c>
      <c r="AF288" t="s">
        <v>1376</v>
      </c>
      <c r="AG288" s="6">
        <v>1.48</v>
      </c>
      <c r="AH288" s="11" t="s">
        <v>966</v>
      </c>
      <c r="AI288" s="5">
        <v>2.8</v>
      </c>
      <c r="AJ288" s="5" t="s">
        <v>443</v>
      </c>
      <c r="AK288" s="5">
        <v>2.2999999999999998</v>
      </c>
      <c r="AL288" s="5">
        <v>8.4</v>
      </c>
      <c r="AM288" s="5">
        <v>25.6</v>
      </c>
      <c r="AN288" s="5">
        <v>9.5</v>
      </c>
      <c r="AO288" s="2">
        <v>16.8</v>
      </c>
      <c r="AP288" s="2">
        <v>24.8</v>
      </c>
      <c r="AQ288" s="2">
        <v>21</v>
      </c>
      <c r="AR288" s="2" t="s">
        <v>1371</v>
      </c>
      <c r="AS288" s="5" t="s">
        <v>609</v>
      </c>
    </row>
    <row r="289" spans="1:45" x14ac:dyDescent="0.35">
      <c r="A289" t="s">
        <v>347</v>
      </c>
      <c r="B289" t="s">
        <v>975</v>
      </c>
      <c r="C289" t="s">
        <v>1084</v>
      </c>
      <c r="D289" s="2" t="s">
        <v>592</v>
      </c>
      <c r="E289" s="2" t="s">
        <v>1368</v>
      </c>
      <c r="F289" s="2" t="s">
        <v>716</v>
      </c>
      <c r="G289" s="3">
        <v>432</v>
      </c>
      <c r="H289" s="3">
        <v>36</v>
      </c>
      <c r="I289" s="3">
        <v>28</v>
      </c>
      <c r="J289" s="3">
        <v>164</v>
      </c>
      <c r="K289" s="3">
        <v>315</v>
      </c>
      <c r="L289" s="3">
        <v>498</v>
      </c>
      <c r="M289" s="3">
        <v>828</v>
      </c>
      <c r="N289" s="3">
        <v>29</v>
      </c>
      <c r="O289" s="5">
        <v>54.2</v>
      </c>
      <c r="P289" s="5">
        <v>2.7</v>
      </c>
      <c r="Q289" s="5">
        <v>4</v>
      </c>
      <c r="R289" s="5">
        <v>39.1</v>
      </c>
      <c r="S289" s="5">
        <v>26.3</v>
      </c>
      <c r="T289" s="5">
        <v>30.7</v>
      </c>
      <c r="U289" s="5">
        <v>40.200000000000003</v>
      </c>
      <c r="V289" s="5">
        <v>2.9</v>
      </c>
      <c r="W289" s="5">
        <f t="shared" si="9"/>
        <v>43.1</v>
      </c>
      <c r="X289" s="3">
        <v>1.1935923505670358</v>
      </c>
      <c r="Y289" t="s">
        <v>609</v>
      </c>
      <c r="Z289" s="4">
        <v>44348</v>
      </c>
      <c r="AA289" t="s">
        <v>205</v>
      </c>
      <c r="AB289" t="s">
        <v>348</v>
      </c>
      <c r="AC289" t="s">
        <v>609</v>
      </c>
      <c r="AD289" t="s">
        <v>1295</v>
      </c>
      <c r="AE289" t="s">
        <v>1365</v>
      </c>
      <c r="AF289" t="s">
        <v>1376</v>
      </c>
      <c r="AG289" s="6">
        <v>1.03</v>
      </c>
      <c r="AH289" s="11" t="s">
        <v>966</v>
      </c>
      <c r="AI289" s="5">
        <v>2.8</v>
      </c>
      <c r="AJ289" s="5" t="s">
        <v>443</v>
      </c>
      <c r="AK289" s="5">
        <v>2.2999999999999998</v>
      </c>
      <c r="AL289" s="5">
        <v>8.5</v>
      </c>
      <c r="AM289" s="5">
        <v>25.2</v>
      </c>
      <c r="AN289" s="5">
        <v>8.5</v>
      </c>
      <c r="AO289" s="2">
        <v>6.4</v>
      </c>
      <c r="AP289" s="2">
        <v>33.200000000000003</v>
      </c>
      <c r="AQ289" s="2">
        <v>27.5</v>
      </c>
      <c r="AR289" s="2" t="s">
        <v>1371</v>
      </c>
      <c r="AS289" s="5" t="s">
        <v>609</v>
      </c>
    </row>
    <row r="290" spans="1:45" x14ac:dyDescent="0.35">
      <c r="A290" t="s">
        <v>349</v>
      </c>
      <c r="B290" t="s">
        <v>975</v>
      </c>
      <c r="C290" t="s">
        <v>1077</v>
      </c>
      <c r="D290" s="2" t="s">
        <v>592</v>
      </c>
      <c r="E290" s="2" t="s">
        <v>1368</v>
      </c>
      <c r="F290" s="2" t="s">
        <v>716</v>
      </c>
      <c r="G290" s="3">
        <v>464</v>
      </c>
      <c r="H290" s="3">
        <v>37</v>
      </c>
      <c r="I290" s="3">
        <v>0</v>
      </c>
      <c r="J290" s="3">
        <v>166</v>
      </c>
      <c r="K290" s="3">
        <v>355</v>
      </c>
      <c r="L290" s="3">
        <v>568</v>
      </c>
      <c r="M290" s="3">
        <v>828</v>
      </c>
      <c r="N290" s="3">
        <v>58</v>
      </c>
      <c r="O290" s="5">
        <v>58</v>
      </c>
      <c r="P290" s="5">
        <v>2.8</v>
      </c>
      <c r="Q290" s="5">
        <v>0</v>
      </c>
      <c r="R290" s="5">
        <v>39.200000000000003</v>
      </c>
      <c r="S290" s="5">
        <v>26.8</v>
      </c>
      <c r="T290" s="5">
        <v>31.7</v>
      </c>
      <c r="U290" s="5">
        <v>36.299999999999997</v>
      </c>
      <c r="V290" s="5">
        <v>5.2</v>
      </c>
      <c r="W290" s="5">
        <f t="shared" ref="W290:W321" si="10">SUM(U290:V290)</f>
        <v>41.5</v>
      </c>
      <c r="X290" s="3">
        <v>-3.5366983823582649</v>
      </c>
      <c r="Y290" t="s">
        <v>609</v>
      </c>
      <c r="Z290" s="4">
        <v>44348</v>
      </c>
      <c r="AA290" t="s">
        <v>205</v>
      </c>
      <c r="AB290" t="s">
        <v>350</v>
      </c>
      <c r="AC290" t="s">
        <v>609</v>
      </c>
      <c r="AD290" t="s">
        <v>1296</v>
      </c>
      <c r="AE290" t="s">
        <v>1365</v>
      </c>
      <c r="AF290" t="s">
        <v>1376</v>
      </c>
      <c r="AG290" s="6">
        <v>1.1000000000000001</v>
      </c>
      <c r="AH290" s="11" t="s">
        <v>966</v>
      </c>
      <c r="AI290" s="5">
        <v>2.9</v>
      </c>
      <c r="AJ290" s="5" t="s">
        <v>443</v>
      </c>
      <c r="AK290" s="5">
        <v>2.5</v>
      </c>
      <c r="AL290" s="5">
        <v>8.9</v>
      </c>
      <c r="AM290" s="5">
        <v>24.7</v>
      </c>
      <c r="AN290" s="5">
        <v>9.9</v>
      </c>
      <c r="AO290" s="2">
        <v>21.3</v>
      </c>
      <c r="AP290" s="2">
        <v>30</v>
      </c>
      <c r="AQ290" s="2">
        <v>23</v>
      </c>
      <c r="AR290" s="2" t="s">
        <v>1371</v>
      </c>
      <c r="AS290" s="5" t="s">
        <v>609</v>
      </c>
    </row>
    <row r="291" spans="1:45" x14ac:dyDescent="0.35">
      <c r="A291" t="s">
        <v>351</v>
      </c>
      <c r="B291" t="s">
        <v>1007</v>
      </c>
      <c r="C291" t="s">
        <v>1078</v>
      </c>
      <c r="D291" s="2" t="s">
        <v>592</v>
      </c>
      <c r="E291" s="2" t="s">
        <v>1368</v>
      </c>
      <c r="F291" s="2" t="s">
        <v>716</v>
      </c>
      <c r="G291" s="3">
        <v>279</v>
      </c>
      <c r="H291" s="3">
        <v>3</v>
      </c>
      <c r="I291" s="3">
        <v>18</v>
      </c>
      <c r="J291" s="3">
        <v>31</v>
      </c>
      <c r="K291" s="3">
        <v>250</v>
      </c>
      <c r="L291" s="3">
        <v>35</v>
      </c>
      <c r="M291" s="3">
        <v>420</v>
      </c>
      <c r="N291" s="3">
        <v>80</v>
      </c>
      <c r="O291" s="5">
        <v>77.3</v>
      </c>
      <c r="P291" s="5">
        <v>0.5</v>
      </c>
      <c r="Q291" s="5">
        <v>5.7</v>
      </c>
      <c r="R291" s="5">
        <v>16.5</v>
      </c>
      <c r="S291" s="5">
        <v>40.700000000000003</v>
      </c>
      <c r="T291" s="5">
        <v>4.2</v>
      </c>
      <c r="U291" s="5">
        <v>39.700000000000003</v>
      </c>
      <c r="V291" s="5">
        <v>15.4</v>
      </c>
      <c r="W291" s="5">
        <f t="shared" si="10"/>
        <v>55.1</v>
      </c>
      <c r="X291" s="3">
        <v>-5.0571038729412345</v>
      </c>
      <c r="Y291" t="s">
        <v>609</v>
      </c>
      <c r="Z291" s="4">
        <v>44358</v>
      </c>
      <c r="AA291" t="s">
        <v>352</v>
      </c>
      <c r="AB291" t="s">
        <v>353</v>
      </c>
      <c r="AC291" t="s">
        <v>609</v>
      </c>
      <c r="AD291" t="s">
        <v>1297</v>
      </c>
      <c r="AE291" t="s">
        <v>1365</v>
      </c>
      <c r="AF291" t="s">
        <v>1376</v>
      </c>
      <c r="AG291" s="6">
        <v>4.5</v>
      </c>
      <c r="AH291" s="11" t="s">
        <v>966</v>
      </c>
      <c r="AI291" s="5">
        <v>1.6</v>
      </c>
      <c r="AJ291" s="5" t="s">
        <v>443</v>
      </c>
      <c r="AK291" s="5">
        <v>1.1000000000000001</v>
      </c>
      <c r="AL291" s="5">
        <v>8.5</v>
      </c>
      <c r="AM291" s="5">
        <v>26.8</v>
      </c>
      <c r="AN291" s="5">
        <v>9.6</v>
      </c>
      <c r="AO291" s="2">
        <v>10.9</v>
      </c>
      <c r="AP291" s="2">
        <v>12.4</v>
      </c>
      <c r="AQ291" s="2">
        <v>11.7</v>
      </c>
      <c r="AR291" s="2" t="s">
        <v>1371</v>
      </c>
      <c r="AS291" s="5" t="s">
        <v>609</v>
      </c>
    </row>
    <row r="292" spans="1:45" x14ac:dyDescent="0.35">
      <c r="A292" t="s">
        <v>354</v>
      </c>
      <c r="B292" t="s">
        <v>1007</v>
      </c>
      <c r="C292" t="s">
        <v>1079</v>
      </c>
      <c r="D292" s="2" t="s">
        <v>592</v>
      </c>
      <c r="E292" s="2" t="s">
        <v>1368</v>
      </c>
      <c r="F292" s="2" t="s">
        <v>716</v>
      </c>
      <c r="G292" s="3">
        <v>294</v>
      </c>
      <c r="H292" s="3">
        <v>2</v>
      </c>
      <c r="I292" s="3">
        <v>27</v>
      </c>
      <c r="J292" s="3">
        <v>33</v>
      </c>
      <c r="K292" s="3">
        <v>265</v>
      </c>
      <c r="L292" s="3">
        <v>37</v>
      </c>
      <c r="M292" s="3">
        <v>450</v>
      </c>
      <c r="N292" s="3">
        <v>90</v>
      </c>
      <c r="O292" s="5">
        <v>75.599999999999994</v>
      </c>
      <c r="P292" s="5">
        <v>0.3</v>
      </c>
      <c r="Q292" s="5">
        <v>8</v>
      </c>
      <c r="R292" s="5">
        <v>16.100000000000001</v>
      </c>
      <c r="S292" s="5">
        <v>40.200000000000003</v>
      </c>
      <c r="T292" s="5">
        <v>4.0999999999999996</v>
      </c>
      <c r="U292" s="5">
        <v>39.6</v>
      </c>
      <c r="V292" s="5">
        <v>16.100000000000001</v>
      </c>
      <c r="W292" s="5">
        <f t="shared" si="10"/>
        <v>55.7</v>
      </c>
      <c r="X292" s="3">
        <v>-4.8352539396547884</v>
      </c>
      <c r="Y292" t="s">
        <v>609</v>
      </c>
      <c r="Z292" s="4">
        <v>44358</v>
      </c>
      <c r="AA292" t="s">
        <v>352</v>
      </c>
      <c r="AB292" t="s">
        <v>355</v>
      </c>
      <c r="AC292" t="s">
        <v>609</v>
      </c>
      <c r="AD292" t="s">
        <v>1298</v>
      </c>
      <c r="AE292" t="s">
        <v>1365</v>
      </c>
      <c r="AF292" t="s">
        <v>1376</v>
      </c>
      <c r="AG292" s="6">
        <v>4</v>
      </c>
      <c r="AH292" s="11" t="s">
        <v>966</v>
      </c>
      <c r="AI292" s="5">
        <v>1.6</v>
      </c>
      <c r="AJ292" s="5" t="s">
        <v>443</v>
      </c>
      <c r="AK292" s="5">
        <v>1.2</v>
      </c>
      <c r="AL292" s="5">
        <v>8.5</v>
      </c>
      <c r="AM292" s="5">
        <v>27.8</v>
      </c>
      <c r="AN292" s="5">
        <v>9.5</v>
      </c>
      <c r="AO292" s="2">
        <v>12.6</v>
      </c>
      <c r="AP292" s="2">
        <v>14.8</v>
      </c>
      <c r="AQ292" s="2">
        <v>12.1</v>
      </c>
      <c r="AR292" s="2" t="s">
        <v>1371</v>
      </c>
      <c r="AS292" s="5" t="s">
        <v>609</v>
      </c>
    </row>
    <row r="293" spans="1:45" x14ac:dyDescent="0.35">
      <c r="A293" t="s">
        <v>356</v>
      </c>
      <c r="B293" t="s">
        <v>994</v>
      </c>
      <c r="C293" t="s">
        <v>1087</v>
      </c>
      <c r="D293" s="2" t="s">
        <v>592</v>
      </c>
      <c r="E293" s="2" t="s">
        <v>1368</v>
      </c>
      <c r="F293" s="2" t="s">
        <v>716</v>
      </c>
      <c r="G293" s="3">
        <v>688</v>
      </c>
      <c r="H293" s="3">
        <v>85</v>
      </c>
      <c r="I293" s="3">
        <v>0</v>
      </c>
      <c r="J293" s="3">
        <v>427</v>
      </c>
      <c r="K293" s="3">
        <v>580</v>
      </c>
      <c r="L293" s="3">
        <v>1144</v>
      </c>
      <c r="M293" s="3">
        <v>1095</v>
      </c>
      <c r="N293" s="3">
        <v>189</v>
      </c>
      <c r="O293" s="5">
        <v>44.5</v>
      </c>
      <c r="P293" s="5">
        <v>3.2</v>
      </c>
      <c r="Q293" s="5">
        <v>0</v>
      </c>
      <c r="R293" s="5">
        <v>52.3</v>
      </c>
      <c r="S293" s="5">
        <v>25.4</v>
      </c>
      <c r="T293" s="5">
        <v>37</v>
      </c>
      <c r="U293" s="5">
        <v>27.8</v>
      </c>
      <c r="V293" s="5">
        <v>9.8000000000000007</v>
      </c>
      <c r="W293" s="5">
        <f t="shared" si="10"/>
        <v>37.6</v>
      </c>
      <c r="X293" s="3">
        <v>2.141398208161732</v>
      </c>
      <c r="Y293" t="s">
        <v>609</v>
      </c>
      <c r="Z293" s="4">
        <v>44365</v>
      </c>
      <c r="AA293" t="s">
        <v>357</v>
      </c>
      <c r="AB293" t="s">
        <v>358</v>
      </c>
      <c r="AC293" t="s">
        <v>609</v>
      </c>
      <c r="AD293" t="s">
        <v>1299</v>
      </c>
      <c r="AE293" t="s">
        <v>1365</v>
      </c>
      <c r="AF293" t="s">
        <v>1376</v>
      </c>
      <c r="AG293" s="6">
        <v>1.75</v>
      </c>
      <c r="AH293" s="11" t="s">
        <v>966</v>
      </c>
      <c r="AI293" s="5">
        <v>4.7</v>
      </c>
      <c r="AJ293" s="5" t="s">
        <v>443</v>
      </c>
      <c r="AK293" s="5">
        <v>4.2</v>
      </c>
      <c r="AL293" s="5">
        <v>9</v>
      </c>
      <c r="AM293" s="5">
        <v>29.2</v>
      </c>
      <c r="AN293" s="5">
        <v>9.6999999999999993</v>
      </c>
      <c r="AO293" s="2">
        <v>13.9</v>
      </c>
      <c r="AP293" s="2">
        <v>61.7</v>
      </c>
      <c r="AQ293" s="2">
        <v>38.700000000000003</v>
      </c>
      <c r="AR293" s="2" t="s">
        <v>1371</v>
      </c>
      <c r="AS293" s="5" t="s">
        <v>609</v>
      </c>
    </row>
    <row r="294" spans="1:45" x14ac:dyDescent="0.35">
      <c r="A294" t="s">
        <v>359</v>
      </c>
      <c r="B294" t="s">
        <v>994</v>
      </c>
      <c r="C294" t="s">
        <v>1088</v>
      </c>
      <c r="D294" s="2" t="s">
        <v>592</v>
      </c>
      <c r="E294" s="2" t="s">
        <v>1368</v>
      </c>
      <c r="F294" s="2" t="s">
        <v>716</v>
      </c>
      <c r="G294" s="3">
        <v>662</v>
      </c>
      <c r="H294" s="3">
        <v>82</v>
      </c>
      <c r="I294" s="3">
        <v>0</v>
      </c>
      <c r="J294" s="3">
        <v>416</v>
      </c>
      <c r="K294" s="3">
        <v>559</v>
      </c>
      <c r="L294" s="3">
        <v>1104</v>
      </c>
      <c r="M294" s="3">
        <v>1124</v>
      </c>
      <c r="N294" s="3">
        <v>182</v>
      </c>
      <c r="O294" s="5">
        <v>44.2</v>
      </c>
      <c r="P294" s="5">
        <v>3.2</v>
      </c>
      <c r="Q294" s="5">
        <v>0</v>
      </c>
      <c r="R294" s="5">
        <v>52.6</v>
      </c>
      <c r="S294" s="5">
        <v>24.9</v>
      </c>
      <c r="T294" s="5">
        <v>36.299999999999997</v>
      </c>
      <c r="U294" s="5">
        <v>29.1</v>
      </c>
      <c r="V294" s="5">
        <v>9.6</v>
      </c>
      <c r="W294" s="5">
        <f t="shared" si="10"/>
        <v>38.700000000000003</v>
      </c>
      <c r="X294" s="3">
        <v>1.4721407286427515</v>
      </c>
      <c r="Y294" t="s">
        <v>609</v>
      </c>
      <c r="Z294" s="4">
        <v>44365</v>
      </c>
      <c r="AA294" t="s">
        <v>357</v>
      </c>
      <c r="AB294" t="s">
        <v>360</v>
      </c>
      <c r="AC294" t="s">
        <v>609</v>
      </c>
      <c r="AD294" t="s">
        <v>1300</v>
      </c>
      <c r="AE294" t="s">
        <v>1365</v>
      </c>
      <c r="AF294" t="s">
        <v>1376</v>
      </c>
      <c r="AG294" s="6">
        <v>1.48</v>
      </c>
      <c r="AH294" s="11" t="s">
        <v>966</v>
      </c>
      <c r="AI294" s="5">
        <v>4.5</v>
      </c>
      <c r="AJ294" s="5" t="s">
        <v>443</v>
      </c>
      <c r="AK294" s="5">
        <v>4.0999999999999996</v>
      </c>
      <c r="AL294" s="5">
        <v>8.9</v>
      </c>
      <c r="AM294" s="5">
        <v>28.8</v>
      </c>
      <c r="AN294" s="5">
        <v>8.5</v>
      </c>
      <c r="AO294" s="2">
        <v>12.3</v>
      </c>
      <c r="AP294" s="2">
        <v>41.3</v>
      </c>
      <c r="AQ294" s="2">
        <v>39.4</v>
      </c>
      <c r="AR294" s="2" t="s">
        <v>1371</v>
      </c>
      <c r="AS294" s="5" t="s">
        <v>609</v>
      </c>
    </row>
    <row r="295" spans="1:45" x14ac:dyDescent="0.35">
      <c r="A295" t="s">
        <v>361</v>
      </c>
      <c r="B295" t="s">
        <v>994</v>
      </c>
      <c r="C295" t="s">
        <v>1089</v>
      </c>
      <c r="D295" s="2" t="s">
        <v>592</v>
      </c>
      <c r="E295" s="2" t="s">
        <v>1368</v>
      </c>
      <c r="F295" s="2" t="s">
        <v>716</v>
      </c>
      <c r="G295" s="3">
        <v>602</v>
      </c>
      <c r="H295" s="3">
        <v>74</v>
      </c>
      <c r="I295" s="3">
        <v>0</v>
      </c>
      <c r="J295" s="3">
        <v>393</v>
      </c>
      <c r="K295" s="3">
        <v>511</v>
      </c>
      <c r="L295" s="3">
        <v>1014</v>
      </c>
      <c r="M295" s="3">
        <v>1139</v>
      </c>
      <c r="N295" s="3">
        <v>153</v>
      </c>
      <c r="O295" s="5">
        <v>43.3</v>
      </c>
      <c r="P295" s="5">
        <v>3.1</v>
      </c>
      <c r="Q295" s="5">
        <v>0</v>
      </c>
      <c r="R295" s="5">
        <v>53.5</v>
      </c>
      <c r="S295" s="5">
        <v>24.3</v>
      </c>
      <c r="T295" s="5">
        <v>35.6</v>
      </c>
      <c r="U295" s="5">
        <v>31.5</v>
      </c>
      <c r="V295" s="5">
        <v>8.6</v>
      </c>
      <c r="W295" s="5">
        <f t="shared" si="10"/>
        <v>40.1</v>
      </c>
      <c r="X295" s="3">
        <v>0.94479839872893967</v>
      </c>
      <c r="Y295" t="s">
        <v>609</v>
      </c>
      <c r="Z295" s="4">
        <v>44365</v>
      </c>
      <c r="AA295" t="s">
        <v>357</v>
      </c>
      <c r="AB295" t="s">
        <v>362</v>
      </c>
      <c r="AC295" t="s">
        <v>609</v>
      </c>
      <c r="AD295" t="s">
        <v>1301</v>
      </c>
      <c r="AE295" t="s">
        <v>1365</v>
      </c>
      <c r="AF295" t="s">
        <v>1376</v>
      </c>
      <c r="AG295" s="6">
        <v>1.1200000000000001</v>
      </c>
      <c r="AH295" s="11" t="s">
        <v>966</v>
      </c>
      <c r="AI295" s="5">
        <v>4.4000000000000004</v>
      </c>
      <c r="AJ295" s="5" t="s">
        <v>443</v>
      </c>
      <c r="AK295" s="5">
        <v>3.9</v>
      </c>
      <c r="AL295" s="5">
        <v>8.9</v>
      </c>
      <c r="AM295" s="5">
        <v>28.1</v>
      </c>
      <c r="AN295" s="5">
        <v>7</v>
      </c>
      <c r="AO295" s="2">
        <v>28.7</v>
      </c>
      <c r="AP295" s="2">
        <v>45.4</v>
      </c>
      <c r="AQ295" s="2">
        <v>43.9</v>
      </c>
      <c r="AR295" s="2" t="s">
        <v>1371</v>
      </c>
      <c r="AS295" s="5" t="s">
        <v>609</v>
      </c>
    </row>
    <row r="296" spans="1:45" x14ac:dyDescent="0.35">
      <c r="A296" t="s">
        <v>363</v>
      </c>
      <c r="B296" s="8" t="s">
        <v>1006</v>
      </c>
      <c r="C296" t="s">
        <v>1035</v>
      </c>
      <c r="D296" s="2" t="s">
        <v>592</v>
      </c>
      <c r="E296" s="2" t="s">
        <v>1368</v>
      </c>
      <c r="F296" s="2" t="s">
        <v>716</v>
      </c>
      <c r="G296" s="3">
        <v>775</v>
      </c>
      <c r="H296" s="3">
        <v>78</v>
      </c>
      <c r="I296" s="3">
        <v>0</v>
      </c>
      <c r="J296" s="3">
        <v>355</v>
      </c>
      <c r="K296" s="3">
        <v>641</v>
      </c>
      <c r="L296" s="3">
        <v>754</v>
      </c>
      <c r="M296" s="3">
        <v>1376</v>
      </c>
      <c r="N296" s="3">
        <v>218</v>
      </c>
      <c r="O296" s="5">
        <v>51.9</v>
      </c>
      <c r="P296" s="5">
        <v>3.1</v>
      </c>
      <c r="Q296" s="5">
        <v>0</v>
      </c>
      <c r="R296" s="5">
        <v>45</v>
      </c>
      <c r="S296" s="5">
        <v>28.4</v>
      </c>
      <c r="T296" s="5">
        <v>24.7</v>
      </c>
      <c r="U296" s="5">
        <v>35.4</v>
      </c>
      <c r="V296" s="5">
        <v>11.4</v>
      </c>
      <c r="W296" s="5">
        <f t="shared" si="10"/>
        <v>46.8</v>
      </c>
      <c r="X296" s="3">
        <v>1.0319953863179137</v>
      </c>
      <c r="Y296" t="s">
        <v>609</v>
      </c>
      <c r="Z296" s="4">
        <v>44365</v>
      </c>
      <c r="AA296" t="s">
        <v>837</v>
      </c>
      <c r="AB296" t="s">
        <v>364</v>
      </c>
      <c r="AC296" t="s">
        <v>609</v>
      </c>
      <c r="AD296" t="s">
        <v>1302</v>
      </c>
      <c r="AE296" t="s">
        <v>1365</v>
      </c>
      <c r="AF296" t="s">
        <v>1376</v>
      </c>
      <c r="AG296" s="6">
        <v>0.45</v>
      </c>
      <c r="AH296" s="11" t="s">
        <v>966</v>
      </c>
      <c r="AI296" s="5">
        <v>4.7</v>
      </c>
      <c r="AJ296" s="5" t="s">
        <v>443</v>
      </c>
      <c r="AK296" s="5">
        <v>4.2</v>
      </c>
      <c r="AL296" s="5">
        <v>9.3000000000000007</v>
      </c>
      <c r="AM296" s="5">
        <v>29.5</v>
      </c>
      <c r="AN296" s="5">
        <v>11.9</v>
      </c>
      <c r="AO296" s="2">
        <v>407.1</v>
      </c>
      <c r="AP296" s="2">
        <v>79.8</v>
      </c>
      <c r="AQ296" s="2">
        <v>24.6</v>
      </c>
      <c r="AR296" s="2" t="s">
        <v>1371</v>
      </c>
      <c r="AS296" s="5" t="s">
        <v>609</v>
      </c>
    </row>
    <row r="297" spans="1:45" x14ac:dyDescent="0.35">
      <c r="A297" t="s">
        <v>445</v>
      </c>
      <c r="B297" t="s">
        <v>507</v>
      </c>
      <c r="C297" t="s">
        <v>1038</v>
      </c>
      <c r="D297" s="2" t="s">
        <v>594</v>
      </c>
      <c r="E297" s="2" t="s">
        <v>446</v>
      </c>
      <c r="F297" s="2" t="s">
        <v>717</v>
      </c>
      <c r="G297" s="3">
        <v>1270</v>
      </c>
      <c r="H297" s="3">
        <v>109</v>
      </c>
      <c r="I297" s="3">
        <v>28</v>
      </c>
      <c r="J297" s="3">
        <v>343</v>
      </c>
      <c r="K297" s="3">
        <v>1189</v>
      </c>
      <c r="L297" s="3">
        <v>1879</v>
      </c>
      <c r="M297" s="3">
        <v>769</v>
      </c>
      <c r="N297" s="3">
        <v>78</v>
      </c>
      <c r="O297" s="5">
        <v>63</v>
      </c>
      <c r="P297" s="5">
        <v>3.2</v>
      </c>
      <c r="Q297" s="5">
        <v>1.6</v>
      </c>
      <c r="R297" s="5">
        <v>32.200000000000003</v>
      </c>
      <c r="S297" s="5">
        <v>38.200000000000003</v>
      </c>
      <c r="T297" s="5">
        <v>44.5</v>
      </c>
      <c r="U297" s="5">
        <v>14.3</v>
      </c>
      <c r="V297" s="5">
        <v>3</v>
      </c>
      <c r="W297" s="5">
        <f t="shared" si="10"/>
        <v>17.3</v>
      </c>
      <c r="X297" s="3">
        <v>-0.11805666985108589</v>
      </c>
      <c r="Y297" t="s">
        <v>609</v>
      </c>
      <c r="Z297" s="4">
        <v>44372</v>
      </c>
      <c r="AA297" t="s">
        <v>447</v>
      </c>
      <c r="AB297" t="s">
        <v>448</v>
      </c>
      <c r="AC297" t="s">
        <v>609</v>
      </c>
      <c r="AD297" t="s">
        <v>1200</v>
      </c>
      <c r="AE297" t="s">
        <v>1365</v>
      </c>
      <c r="AF297" t="s">
        <v>1376</v>
      </c>
      <c r="AG297" s="6">
        <v>0.3</v>
      </c>
      <c r="AH297" s="2">
        <v>0.01</v>
      </c>
      <c r="AI297" s="5">
        <v>8.1</v>
      </c>
      <c r="AJ297" s="2" t="s">
        <v>443</v>
      </c>
      <c r="AK297" s="5">
        <v>5.7</v>
      </c>
      <c r="AL297" s="5">
        <v>8.9</v>
      </c>
      <c r="AM297" s="5">
        <v>18.399999999999999</v>
      </c>
      <c r="AN297" s="5">
        <v>9.1999999999999993</v>
      </c>
      <c r="AO297" s="2">
        <v>1.6</v>
      </c>
      <c r="AP297" s="2">
        <v>6.8</v>
      </c>
      <c r="AQ297" s="2">
        <v>5.2</v>
      </c>
      <c r="AR297" s="2" t="s">
        <v>1371</v>
      </c>
      <c r="AS297" t="s">
        <v>609</v>
      </c>
    </row>
    <row r="298" spans="1:45" x14ac:dyDescent="0.35">
      <c r="A298" t="s">
        <v>449</v>
      </c>
      <c r="B298" t="s">
        <v>507</v>
      </c>
      <c r="C298" t="s">
        <v>1041</v>
      </c>
      <c r="D298" s="2" t="s">
        <v>594</v>
      </c>
      <c r="E298" s="2" t="s">
        <v>446</v>
      </c>
      <c r="F298" s="2" t="s">
        <v>717</v>
      </c>
      <c r="G298" s="3">
        <v>25960</v>
      </c>
      <c r="H298" s="3">
        <v>380</v>
      </c>
      <c r="I298" s="3">
        <v>28</v>
      </c>
      <c r="J298" s="3">
        <v>2658</v>
      </c>
      <c r="K298" s="3">
        <v>33725</v>
      </c>
      <c r="L298" s="3">
        <v>18819</v>
      </c>
      <c r="M298" s="3">
        <v>2885</v>
      </c>
      <c r="N298" s="3">
        <v>522</v>
      </c>
      <c r="O298" s="5">
        <v>83.1</v>
      </c>
      <c r="P298" s="5">
        <v>0.7</v>
      </c>
      <c r="Q298" s="5">
        <v>0.1</v>
      </c>
      <c r="R298" s="5">
        <v>16.100000000000001</v>
      </c>
      <c r="S298" s="5">
        <v>67.599999999999994</v>
      </c>
      <c r="T298" s="5">
        <v>27.8</v>
      </c>
      <c r="U298" s="5">
        <v>3.4</v>
      </c>
      <c r="V298" s="5">
        <v>1.2</v>
      </c>
      <c r="W298" s="5">
        <f t="shared" si="10"/>
        <v>4.5999999999999996</v>
      </c>
      <c r="X298" s="3">
        <v>-1.7625902889542946</v>
      </c>
      <c r="Y298" t="s">
        <v>609</v>
      </c>
      <c r="Z298" s="4">
        <v>44372</v>
      </c>
      <c r="AA298" t="s">
        <v>447</v>
      </c>
      <c r="AB298" t="s">
        <v>450</v>
      </c>
      <c r="AC298" t="s">
        <v>609</v>
      </c>
      <c r="AD298" t="s">
        <v>1201</v>
      </c>
      <c r="AE298" t="s">
        <v>1365</v>
      </c>
      <c r="AF298" t="s">
        <v>1376</v>
      </c>
      <c r="AG298" s="6">
        <v>7.0000000000000007E-2</v>
      </c>
      <c r="AH298" s="2">
        <v>0.01</v>
      </c>
      <c r="AI298" s="5">
        <v>60.6</v>
      </c>
      <c r="AJ298" s="2" t="s">
        <v>443</v>
      </c>
      <c r="AK298" s="5">
        <v>85</v>
      </c>
      <c r="AL298" s="5">
        <v>8.6999999999999993</v>
      </c>
      <c r="AM298" s="5">
        <v>25.7</v>
      </c>
      <c r="AN298" s="5">
        <v>9.1999999999999993</v>
      </c>
      <c r="AO298" s="2">
        <v>2</v>
      </c>
      <c r="AP298" s="2">
        <v>5.7</v>
      </c>
      <c r="AQ298" s="2">
        <v>4.5</v>
      </c>
      <c r="AR298" s="2" t="s">
        <v>1371</v>
      </c>
      <c r="AS298" t="s">
        <v>609</v>
      </c>
    </row>
    <row r="299" spans="1:45" x14ac:dyDescent="0.35">
      <c r="A299" t="s">
        <v>451</v>
      </c>
      <c r="B299" t="s">
        <v>507</v>
      </c>
      <c r="C299" t="s">
        <v>1042</v>
      </c>
      <c r="D299" s="2" t="s">
        <v>594</v>
      </c>
      <c r="E299" s="2" t="s">
        <v>446</v>
      </c>
      <c r="F299" s="2" t="s">
        <v>717</v>
      </c>
      <c r="G299" s="3">
        <v>1326</v>
      </c>
      <c r="H299" s="3">
        <v>52</v>
      </c>
      <c r="I299" s="3">
        <v>28</v>
      </c>
      <c r="J299" s="3">
        <v>372</v>
      </c>
      <c r="K299" s="3">
        <v>1350</v>
      </c>
      <c r="L299" s="3">
        <v>1744</v>
      </c>
      <c r="M299" s="3">
        <v>830</v>
      </c>
      <c r="N299" s="3">
        <v>120</v>
      </c>
      <c r="O299" s="5">
        <v>63.4</v>
      </c>
      <c r="P299" s="5">
        <v>1.5</v>
      </c>
      <c r="Q299" s="5">
        <v>1.5</v>
      </c>
      <c r="R299" s="5">
        <v>33.6</v>
      </c>
      <c r="S299" s="5">
        <v>41.4</v>
      </c>
      <c r="T299" s="5">
        <v>39.5</v>
      </c>
      <c r="U299" s="5">
        <v>14.8</v>
      </c>
      <c r="V299" s="5">
        <v>4.3</v>
      </c>
      <c r="W299" s="5">
        <f t="shared" si="10"/>
        <v>19.100000000000001</v>
      </c>
      <c r="X299" s="3">
        <v>-0.53158047903814998</v>
      </c>
      <c r="Y299" t="s">
        <v>609</v>
      </c>
      <c r="Z299" s="4">
        <v>44372</v>
      </c>
      <c r="AA299" t="s">
        <v>447</v>
      </c>
      <c r="AB299" t="s">
        <v>452</v>
      </c>
      <c r="AC299" t="s">
        <v>609</v>
      </c>
      <c r="AD299" t="s">
        <v>1202</v>
      </c>
      <c r="AE299" t="s">
        <v>1365</v>
      </c>
      <c r="AF299" t="s">
        <v>1376</v>
      </c>
      <c r="AG299" s="6">
        <v>0.95</v>
      </c>
      <c r="AH299" s="2">
        <v>0.01</v>
      </c>
      <c r="AI299" s="5">
        <v>8.3000000000000007</v>
      </c>
      <c r="AJ299" s="2" t="s">
        <v>443</v>
      </c>
      <c r="AK299" s="5">
        <v>5.8</v>
      </c>
      <c r="AL299" s="5">
        <v>8.9</v>
      </c>
      <c r="AM299" s="5">
        <v>23.2</v>
      </c>
      <c r="AN299" s="5">
        <v>8.9</v>
      </c>
      <c r="AO299" s="2">
        <v>1.9</v>
      </c>
      <c r="AP299" s="2">
        <v>6.8</v>
      </c>
      <c r="AQ299" s="2">
        <v>5.9</v>
      </c>
      <c r="AR299" s="2" t="s">
        <v>1371</v>
      </c>
      <c r="AS299" t="s">
        <v>609</v>
      </c>
    </row>
    <row r="300" spans="1:45" x14ac:dyDescent="0.35">
      <c r="A300" t="s">
        <v>453</v>
      </c>
      <c r="B300" t="s">
        <v>507</v>
      </c>
      <c r="C300" t="s">
        <v>1043</v>
      </c>
      <c r="D300" s="2" t="s">
        <v>594</v>
      </c>
      <c r="E300" s="2" t="s">
        <v>446</v>
      </c>
      <c r="F300" s="2" t="s">
        <v>717</v>
      </c>
      <c r="G300" s="3">
        <v>939</v>
      </c>
      <c r="H300" s="3">
        <v>49</v>
      </c>
      <c r="I300" s="3">
        <v>30</v>
      </c>
      <c r="J300" s="3">
        <v>237</v>
      </c>
      <c r="K300" s="3">
        <v>888</v>
      </c>
      <c r="L300" s="3">
        <v>1301</v>
      </c>
      <c r="M300" s="3">
        <v>537</v>
      </c>
      <c r="N300" s="3">
        <v>72</v>
      </c>
      <c r="O300" s="5">
        <v>64.7</v>
      </c>
      <c r="P300" s="5">
        <v>2</v>
      </c>
      <c r="Q300" s="5">
        <v>2.4</v>
      </c>
      <c r="R300" s="5">
        <v>30.9</v>
      </c>
      <c r="S300" s="5">
        <v>39.5</v>
      </c>
      <c r="T300" s="5">
        <v>42.8</v>
      </c>
      <c r="U300" s="5">
        <v>13.9</v>
      </c>
      <c r="V300" s="5">
        <v>3.8</v>
      </c>
      <c r="W300" s="5">
        <f t="shared" si="10"/>
        <v>17.7</v>
      </c>
      <c r="X300" s="3">
        <v>-0.18726673843353303</v>
      </c>
      <c r="Y300" t="s">
        <v>609</v>
      </c>
      <c r="Z300" s="4">
        <v>44373</v>
      </c>
      <c r="AA300" t="s">
        <v>447</v>
      </c>
      <c r="AB300" t="s">
        <v>454</v>
      </c>
      <c r="AC300" t="s">
        <v>609</v>
      </c>
      <c r="AD300" t="s">
        <v>1203</v>
      </c>
      <c r="AE300" t="s">
        <v>1365</v>
      </c>
      <c r="AF300" t="s">
        <v>1376</v>
      </c>
      <c r="AG300" s="6">
        <v>0.67</v>
      </c>
      <c r="AH300" s="2">
        <v>0.01</v>
      </c>
      <c r="AI300" s="5">
        <v>5.9</v>
      </c>
      <c r="AJ300" s="2" t="s">
        <v>443</v>
      </c>
      <c r="AK300" s="5">
        <v>4.0999999999999996</v>
      </c>
      <c r="AL300" s="5">
        <v>9</v>
      </c>
      <c r="AM300" s="5">
        <v>20.399999999999999</v>
      </c>
      <c r="AN300" s="5">
        <v>9.1</v>
      </c>
      <c r="AO300" s="2">
        <v>1.7</v>
      </c>
      <c r="AP300" s="2">
        <v>5.4</v>
      </c>
      <c r="AQ300" s="2">
        <v>4.2</v>
      </c>
      <c r="AR300" s="2" t="s">
        <v>1371</v>
      </c>
      <c r="AS300" t="s">
        <v>609</v>
      </c>
    </row>
    <row r="301" spans="1:45" x14ac:dyDescent="0.35">
      <c r="A301" t="s">
        <v>455</v>
      </c>
      <c r="B301" t="s">
        <v>507</v>
      </c>
      <c r="C301" t="s">
        <v>1044</v>
      </c>
      <c r="D301" s="2" t="s">
        <v>594</v>
      </c>
      <c r="E301" s="2" t="s">
        <v>446</v>
      </c>
      <c r="F301" s="2" t="s">
        <v>717</v>
      </c>
      <c r="G301" s="3">
        <v>1944</v>
      </c>
      <c r="H301" s="3">
        <v>35</v>
      </c>
      <c r="I301" s="3">
        <v>34</v>
      </c>
      <c r="J301" s="3">
        <v>660</v>
      </c>
      <c r="K301" s="3">
        <v>2556</v>
      </c>
      <c r="L301" s="3">
        <v>2452</v>
      </c>
      <c r="M301" s="3">
        <v>1269</v>
      </c>
      <c r="N301" s="3">
        <v>216</v>
      </c>
      <c r="O301" s="5">
        <v>59.8</v>
      </c>
      <c r="P301" s="5">
        <v>0.6</v>
      </c>
      <c r="Q301" s="5">
        <v>1.2</v>
      </c>
      <c r="R301" s="5">
        <v>38.4</v>
      </c>
      <c r="S301" s="5">
        <v>47.7</v>
      </c>
      <c r="T301" s="5">
        <v>33.799999999999997</v>
      </c>
      <c r="U301" s="5">
        <v>13.8</v>
      </c>
      <c r="V301" s="5">
        <v>4.8</v>
      </c>
      <c r="W301" s="5">
        <f t="shared" si="10"/>
        <v>18.600000000000001</v>
      </c>
      <c r="X301" s="3">
        <v>-3.3074214569002565</v>
      </c>
      <c r="Y301" t="s">
        <v>609</v>
      </c>
      <c r="Z301" s="4">
        <v>44373</v>
      </c>
      <c r="AA301" t="s">
        <v>447</v>
      </c>
      <c r="AB301" t="s">
        <v>456</v>
      </c>
      <c r="AC301" t="s">
        <v>609</v>
      </c>
      <c r="AD301" t="s">
        <v>1204</v>
      </c>
      <c r="AE301" t="s">
        <v>1365</v>
      </c>
      <c r="AF301" t="s">
        <v>1376</v>
      </c>
      <c r="AG301" s="6">
        <v>0.45</v>
      </c>
      <c r="AH301" s="2">
        <v>0.01</v>
      </c>
      <c r="AI301" s="5">
        <v>14.5</v>
      </c>
      <c r="AJ301" s="2" t="s">
        <v>443</v>
      </c>
      <c r="AK301" s="5">
        <v>9.1999999999999993</v>
      </c>
      <c r="AL301" s="5">
        <v>9.1999999999999993</v>
      </c>
      <c r="AM301" s="5">
        <v>22.4</v>
      </c>
      <c r="AN301" s="5">
        <v>16.600000000000001</v>
      </c>
      <c r="AO301" s="2">
        <v>28.1</v>
      </c>
      <c r="AP301" s="2">
        <v>0.1</v>
      </c>
      <c r="AQ301" s="2">
        <v>0.1</v>
      </c>
      <c r="AR301" s="2" t="s">
        <v>1371</v>
      </c>
      <c r="AS301" t="s">
        <v>609</v>
      </c>
    </row>
    <row r="302" spans="1:45" x14ac:dyDescent="0.35">
      <c r="A302" t="s">
        <v>457</v>
      </c>
      <c r="B302" t="s">
        <v>507</v>
      </c>
      <c r="C302" t="s">
        <v>1040</v>
      </c>
      <c r="D302" s="2" t="s">
        <v>594</v>
      </c>
      <c r="E302" s="2" t="s">
        <v>446</v>
      </c>
      <c r="F302" s="2" t="s">
        <v>717</v>
      </c>
      <c r="G302" s="3">
        <v>1000</v>
      </c>
      <c r="H302" s="3">
        <v>78</v>
      </c>
      <c r="I302" s="3">
        <v>22</v>
      </c>
      <c r="J302" s="3">
        <v>260</v>
      </c>
      <c r="K302" s="3">
        <v>1030</v>
      </c>
      <c r="L302" s="3">
        <v>1407</v>
      </c>
      <c r="M302" s="3">
        <v>537</v>
      </c>
      <c r="N302" s="3">
        <v>120</v>
      </c>
      <c r="O302" s="5">
        <v>64</v>
      </c>
      <c r="P302" s="5">
        <v>2.9</v>
      </c>
      <c r="Q302" s="5">
        <v>1.6</v>
      </c>
      <c r="R302" s="5">
        <v>31.5</v>
      </c>
      <c r="S302" s="5">
        <v>40.799999999999997</v>
      </c>
      <c r="T302" s="5">
        <v>41.2</v>
      </c>
      <c r="U302" s="5">
        <v>12.4</v>
      </c>
      <c r="V302" s="5">
        <v>5.6</v>
      </c>
      <c r="W302" s="5">
        <f t="shared" si="10"/>
        <v>18</v>
      </c>
      <c r="X302" s="3">
        <v>-2.2715133433957457</v>
      </c>
      <c r="Y302" t="s">
        <v>609</v>
      </c>
      <c r="Z302" s="4">
        <v>44373</v>
      </c>
      <c r="AA302" t="s">
        <v>447</v>
      </c>
      <c r="AB302" t="s">
        <v>458</v>
      </c>
      <c r="AC302" t="s">
        <v>609</v>
      </c>
      <c r="AD302" t="s">
        <v>1205</v>
      </c>
      <c r="AE302" t="s">
        <v>1365</v>
      </c>
      <c r="AF302" t="s">
        <v>1376</v>
      </c>
      <c r="AG302" s="6">
        <v>0.4</v>
      </c>
      <c r="AH302" s="2">
        <v>0.01</v>
      </c>
      <c r="AI302" s="5">
        <v>6.4</v>
      </c>
      <c r="AJ302" s="2" t="s">
        <v>443</v>
      </c>
      <c r="AK302" s="5">
        <v>4.5</v>
      </c>
      <c r="AL302" s="5">
        <v>8.9</v>
      </c>
      <c r="AM302" s="5">
        <v>21.7</v>
      </c>
      <c r="AN302" s="5">
        <v>8.9</v>
      </c>
      <c r="AO302" s="2">
        <v>1.2</v>
      </c>
      <c r="AP302" s="2">
        <v>6.2</v>
      </c>
      <c r="AQ302" s="2">
        <v>5.6</v>
      </c>
      <c r="AR302" s="2" t="s">
        <v>1371</v>
      </c>
      <c r="AS302" t="s">
        <v>609</v>
      </c>
    </row>
    <row r="303" spans="1:45" x14ac:dyDescent="0.35">
      <c r="A303" t="s">
        <v>459</v>
      </c>
      <c r="B303" t="s">
        <v>507</v>
      </c>
      <c r="C303" t="s">
        <v>1045</v>
      </c>
      <c r="D303" s="2" t="s">
        <v>594</v>
      </c>
      <c r="E303" s="2" t="s">
        <v>446</v>
      </c>
      <c r="F303" s="2" t="s">
        <v>717</v>
      </c>
      <c r="G303" s="3">
        <v>1060</v>
      </c>
      <c r="H303" s="3">
        <v>121</v>
      </c>
      <c r="I303" s="3">
        <v>26</v>
      </c>
      <c r="J303" s="3">
        <v>294</v>
      </c>
      <c r="K303" s="3">
        <v>1030</v>
      </c>
      <c r="L303" s="3">
        <v>1551</v>
      </c>
      <c r="M303" s="3">
        <v>634</v>
      </c>
      <c r="N303" s="3">
        <v>72</v>
      </c>
      <c r="O303" s="5">
        <v>61.7</v>
      </c>
      <c r="P303" s="5">
        <v>4.0999999999999996</v>
      </c>
      <c r="Q303" s="5">
        <v>1.7</v>
      </c>
      <c r="R303" s="5">
        <v>32.4</v>
      </c>
      <c r="S303" s="5">
        <v>39.200000000000003</v>
      </c>
      <c r="T303" s="5">
        <v>43.6</v>
      </c>
      <c r="U303" s="5">
        <v>14</v>
      </c>
      <c r="V303" s="5">
        <v>3.2</v>
      </c>
      <c r="W303" s="5">
        <f t="shared" si="10"/>
        <v>17.2</v>
      </c>
      <c r="X303" s="3">
        <v>0.37572605388527913</v>
      </c>
      <c r="Y303" t="s">
        <v>609</v>
      </c>
      <c r="Z303" s="4">
        <v>44374</v>
      </c>
      <c r="AA303" t="s">
        <v>447</v>
      </c>
      <c r="AB303" t="s">
        <v>460</v>
      </c>
      <c r="AC303" t="s">
        <v>609</v>
      </c>
      <c r="AD303" t="s">
        <v>1206</v>
      </c>
      <c r="AE303" t="s">
        <v>1365</v>
      </c>
      <c r="AF303" t="s">
        <v>1376</v>
      </c>
      <c r="AG303" s="6">
        <v>0.18</v>
      </c>
      <c r="AH303" s="2">
        <v>0.01</v>
      </c>
      <c r="AI303" s="5">
        <v>6.9</v>
      </c>
      <c r="AJ303" s="2" t="s">
        <v>443</v>
      </c>
      <c r="AK303" s="5">
        <v>4.8</v>
      </c>
      <c r="AL303" s="5">
        <v>8.9</v>
      </c>
      <c r="AM303" s="5">
        <v>26.1</v>
      </c>
      <c r="AN303" s="5">
        <v>8.6999999999999993</v>
      </c>
      <c r="AO303" s="2">
        <v>1.4</v>
      </c>
      <c r="AP303" s="2">
        <v>0.1</v>
      </c>
      <c r="AQ303" s="2">
        <v>0.1</v>
      </c>
      <c r="AR303" s="2" t="s">
        <v>1371</v>
      </c>
      <c r="AS303" t="s">
        <v>609</v>
      </c>
    </row>
    <row r="304" spans="1:45" x14ac:dyDescent="0.35">
      <c r="A304" t="s">
        <v>461</v>
      </c>
      <c r="B304" t="s">
        <v>507</v>
      </c>
      <c r="C304" t="s">
        <v>1039</v>
      </c>
      <c r="D304" s="2" t="s">
        <v>594</v>
      </c>
      <c r="E304" s="2" t="s">
        <v>446</v>
      </c>
      <c r="F304" s="2" t="s">
        <v>717</v>
      </c>
      <c r="G304" s="3">
        <v>1128</v>
      </c>
      <c r="H304" s="3">
        <v>127</v>
      </c>
      <c r="I304" s="3">
        <v>20</v>
      </c>
      <c r="J304" s="3">
        <v>292</v>
      </c>
      <c r="K304" s="3">
        <v>1065</v>
      </c>
      <c r="L304" s="3">
        <v>1771</v>
      </c>
      <c r="M304" s="3">
        <v>647</v>
      </c>
      <c r="N304" s="3">
        <v>72</v>
      </c>
      <c r="O304" s="5">
        <v>63.4</v>
      </c>
      <c r="P304" s="5">
        <v>4.2</v>
      </c>
      <c r="Q304" s="5">
        <v>1.3</v>
      </c>
      <c r="R304" s="5">
        <v>31.1</v>
      </c>
      <c r="S304" s="5">
        <v>37.6</v>
      </c>
      <c r="T304" s="5">
        <v>46.1</v>
      </c>
      <c r="U304" s="5">
        <v>13.3</v>
      </c>
      <c r="V304" s="5">
        <v>3</v>
      </c>
      <c r="W304" s="5">
        <f t="shared" si="10"/>
        <v>16.3</v>
      </c>
      <c r="X304" s="3">
        <v>-1.6369901679638958</v>
      </c>
      <c r="Y304" t="s">
        <v>609</v>
      </c>
      <c r="Z304" s="4">
        <v>44374</v>
      </c>
      <c r="AA304" t="s">
        <v>447</v>
      </c>
      <c r="AB304" t="s">
        <v>462</v>
      </c>
      <c r="AC304" t="s">
        <v>609</v>
      </c>
      <c r="AD304" t="s">
        <v>1207</v>
      </c>
      <c r="AE304" t="s">
        <v>1365</v>
      </c>
      <c r="AF304" t="s">
        <v>1376</v>
      </c>
      <c r="AG304" s="6">
        <v>0.4</v>
      </c>
      <c r="AH304" s="2">
        <v>0.01</v>
      </c>
      <c r="AI304" s="5">
        <v>7.3</v>
      </c>
      <c r="AJ304" s="2" t="s">
        <v>443</v>
      </c>
      <c r="AK304" s="5">
        <v>5.0999999999999996</v>
      </c>
      <c r="AL304" s="5">
        <v>8.9</v>
      </c>
      <c r="AM304" s="5">
        <v>25.8</v>
      </c>
      <c r="AN304" s="5">
        <v>8.4</v>
      </c>
      <c r="AO304" s="2">
        <v>1.1000000000000001</v>
      </c>
      <c r="AP304" s="2">
        <v>7.5</v>
      </c>
      <c r="AQ304" s="2">
        <v>2.9</v>
      </c>
      <c r="AR304" s="2" t="s">
        <v>1371</v>
      </c>
      <c r="AS304" t="s">
        <v>609</v>
      </c>
    </row>
    <row r="305" spans="1:46" x14ac:dyDescent="0.35">
      <c r="A305" t="s">
        <v>463</v>
      </c>
      <c r="B305" t="s">
        <v>1046</v>
      </c>
      <c r="C305" t="s">
        <v>1036</v>
      </c>
      <c r="D305" s="2" t="s">
        <v>594</v>
      </c>
      <c r="E305" s="2" t="s">
        <v>446</v>
      </c>
      <c r="F305" s="2" t="s">
        <v>717</v>
      </c>
      <c r="G305" s="3">
        <v>8933</v>
      </c>
      <c r="H305" s="3">
        <v>396</v>
      </c>
      <c r="I305" s="3">
        <v>1278</v>
      </c>
      <c r="J305" s="3">
        <v>5670</v>
      </c>
      <c r="K305" s="3">
        <v>22543</v>
      </c>
      <c r="L305" s="3">
        <v>11286</v>
      </c>
      <c r="M305" s="3">
        <v>537</v>
      </c>
      <c r="N305" s="3">
        <v>84</v>
      </c>
      <c r="O305" s="5">
        <v>41.8</v>
      </c>
      <c r="P305" s="5">
        <v>1.1000000000000001</v>
      </c>
      <c r="Q305" s="5">
        <v>6.9</v>
      </c>
      <c r="R305" s="5">
        <v>50.2</v>
      </c>
      <c r="S305" s="5">
        <v>72.099999999999994</v>
      </c>
      <c r="T305" s="5">
        <v>26.6</v>
      </c>
      <c r="U305" s="5">
        <v>1</v>
      </c>
      <c r="V305" s="5">
        <v>0.3</v>
      </c>
      <c r="W305" s="5">
        <f t="shared" si="10"/>
        <v>1.3</v>
      </c>
      <c r="X305" s="3">
        <v>2.5744413433962112</v>
      </c>
      <c r="Y305" t="s">
        <v>609</v>
      </c>
      <c r="Z305" s="4">
        <v>44375</v>
      </c>
      <c r="AA305" t="s">
        <v>464</v>
      </c>
      <c r="AB305" t="s">
        <v>465</v>
      </c>
      <c r="AC305" t="s">
        <v>609</v>
      </c>
      <c r="AD305" t="s">
        <v>1208</v>
      </c>
      <c r="AE305" t="s">
        <v>1365</v>
      </c>
      <c r="AF305" t="s">
        <v>1376</v>
      </c>
      <c r="AG305" s="6">
        <v>0.73</v>
      </c>
      <c r="AH305" s="2">
        <v>0.01</v>
      </c>
      <c r="AI305" s="5">
        <v>63</v>
      </c>
      <c r="AJ305" s="2" t="s">
        <v>443</v>
      </c>
      <c r="AK305" s="5">
        <v>50.7</v>
      </c>
      <c r="AL305" s="5">
        <v>8.1</v>
      </c>
      <c r="AM305" s="5">
        <v>21.9</v>
      </c>
      <c r="AN305" s="5">
        <v>6.9</v>
      </c>
      <c r="AO305" s="2">
        <v>1.7</v>
      </c>
      <c r="AP305" s="2">
        <v>15.6</v>
      </c>
      <c r="AQ305" s="2">
        <v>13.9</v>
      </c>
      <c r="AR305" s="2" t="s">
        <v>1371</v>
      </c>
      <c r="AS305" t="s">
        <v>609</v>
      </c>
    </row>
    <row r="306" spans="1:46" x14ac:dyDescent="0.35">
      <c r="A306" t="s">
        <v>466</v>
      </c>
      <c r="B306" t="s">
        <v>1046</v>
      </c>
      <c r="C306" t="s">
        <v>1036</v>
      </c>
      <c r="D306" s="2" t="s">
        <v>594</v>
      </c>
      <c r="E306" s="2" t="s">
        <v>446</v>
      </c>
      <c r="F306" s="2" t="s">
        <v>717</v>
      </c>
      <c r="G306" s="3">
        <v>17000</v>
      </c>
      <c r="H306" s="3">
        <v>259</v>
      </c>
      <c r="I306" s="3">
        <v>32</v>
      </c>
      <c r="J306" s="3">
        <v>297</v>
      </c>
      <c r="K306" s="3">
        <v>7313</v>
      </c>
      <c r="L306" s="3">
        <v>18531</v>
      </c>
      <c r="M306" s="3">
        <v>6124</v>
      </c>
      <c r="N306" s="3">
        <v>1584</v>
      </c>
      <c r="O306" s="5">
        <v>95.8</v>
      </c>
      <c r="P306" s="5">
        <v>0.9</v>
      </c>
      <c r="Q306" s="5">
        <v>0.2</v>
      </c>
      <c r="R306" s="5">
        <v>3.2</v>
      </c>
      <c r="S306" s="5">
        <v>27.7</v>
      </c>
      <c r="T306" s="5">
        <v>51.8</v>
      </c>
      <c r="U306" s="5">
        <v>13.5</v>
      </c>
      <c r="V306" s="5">
        <v>7.1</v>
      </c>
      <c r="W306" s="5">
        <f t="shared" si="10"/>
        <v>20.6</v>
      </c>
      <c r="X306" s="3">
        <v>1.7691420036620684</v>
      </c>
      <c r="Y306" t="s">
        <v>609</v>
      </c>
      <c r="Z306" s="4">
        <v>44375</v>
      </c>
      <c r="AA306" t="s">
        <v>467</v>
      </c>
      <c r="AB306" t="s">
        <v>468</v>
      </c>
      <c r="AC306" t="s">
        <v>609</v>
      </c>
      <c r="AD306" t="s">
        <v>1209</v>
      </c>
      <c r="AE306" t="s">
        <v>1365</v>
      </c>
      <c r="AF306" t="s">
        <v>1376</v>
      </c>
      <c r="AG306" s="6">
        <v>0.31</v>
      </c>
      <c r="AH306" s="2">
        <v>0.01</v>
      </c>
      <c r="AI306" s="5">
        <v>51.1</v>
      </c>
      <c r="AJ306" s="2" t="s">
        <v>443</v>
      </c>
      <c r="AK306" s="5">
        <v>51.1</v>
      </c>
      <c r="AL306" s="5">
        <v>9.1999999999999993</v>
      </c>
      <c r="AM306" s="5">
        <v>24.9</v>
      </c>
      <c r="AN306" s="5">
        <v>9.3000000000000007</v>
      </c>
      <c r="AO306" s="2">
        <v>0.9</v>
      </c>
      <c r="AP306" s="2">
        <v>27.5</v>
      </c>
      <c r="AQ306" s="2">
        <v>27.5</v>
      </c>
      <c r="AR306" s="2" t="s">
        <v>1371</v>
      </c>
      <c r="AS306" t="s">
        <v>609</v>
      </c>
    </row>
    <row r="307" spans="1:46" x14ac:dyDescent="0.35">
      <c r="A307" t="s">
        <v>469</v>
      </c>
      <c r="B307" t="s">
        <v>1046</v>
      </c>
      <c r="C307" t="s">
        <v>1036</v>
      </c>
      <c r="D307" s="2" t="s">
        <v>594</v>
      </c>
      <c r="E307" s="2" t="s">
        <v>446</v>
      </c>
      <c r="F307" s="2" t="s">
        <v>717</v>
      </c>
      <c r="G307" s="3">
        <v>675</v>
      </c>
      <c r="H307" s="3">
        <v>17</v>
      </c>
      <c r="I307" s="3">
        <v>40</v>
      </c>
      <c r="J307" s="3">
        <v>116</v>
      </c>
      <c r="K307" s="3">
        <v>604</v>
      </c>
      <c r="L307" s="3">
        <v>522</v>
      </c>
      <c r="M307" s="3">
        <v>464</v>
      </c>
      <c r="N307" s="3">
        <v>48</v>
      </c>
      <c r="O307" s="5">
        <v>71.099999999999994</v>
      </c>
      <c r="P307" s="5">
        <v>1</v>
      </c>
      <c r="Q307" s="5">
        <v>4.8</v>
      </c>
      <c r="R307" s="5">
        <v>23.1</v>
      </c>
      <c r="S307" s="5">
        <v>45.9</v>
      </c>
      <c r="T307" s="5">
        <v>29.3</v>
      </c>
      <c r="U307" s="5">
        <v>20.5</v>
      </c>
      <c r="V307" s="5">
        <v>4.3</v>
      </c>
      <c r="W307" s="5">
        <f t="shared" si="10"/>
        <v>24.8</v>
      </c>
      <c r="X307" s="3">
        <v>5.3899355885658276</v>
      </c>
      <c r="Y307" t="s">
        <v>609</v>
      </c>
      <c r="Z307" s="4">
        <v>44375</v>
      </c>
      <c r="AA307" t="s">
        <v>467</v>
      </c>
      <c r="AB307" t="s">
        <v>470</v>
      </c>
      <c r="AC307" t="s">
        <v>609</v>
      </c>
      <c r="AD307" t="s">
        <v>1210</v>
      </c>
      <c r="AE307" t="s">
        <v>1365</v>
      </c>
      <c r="AF307" t="s">
        <v>1376</v>
      </c>
      <c r="AG307" s="6">
        <v>1</v>
      </c>
      <c r="AH307" s="2">
        <v>0.01</v>
      </c>
      <c r="AI307" s="5">
        <v>3.3</v>
      </c>
      <c r="AJ307" s="2" t="s">
        <v>443</v>
      </c>
      <c r="AK307" s="5">
        <v>2.5</v>
      </c>
      <c r="AL307" s="5">
        <v>8.6999999999999993</v>
      </c>
      <c r="AM307" s="5">
        <v>28.9</v>
      </c>
      <c r="AN307" s="5">
        <v>9.1</v>
      </c>
      <c r="AO307" s="2">
        <v>2.5</v>
      </c>
      <c r="AP307" s="2">
        <v>23.9</v>
      </c>
      <c r="AQ307" s="2">
        <v>22.1</v>
      </c>
      <c r="AR307" s="2" t="s">
        <v>1371</v>
      </c>
      <c r="AS307" t="s">
        <v>609</v>
      </c>
    </row>
    <row r="308" spans="1:46" x14ac:dyDescent="0.35">
      <c r="A308" t="s">
        <v>471</v>
      </c>
      <c r="B308" t="s">
        <v>1046</v>
      </c>
      <c r="C308" t="s">
        <v>1047</v>
      </c>
      <c r="D308" s="2" t="s">
        <v>594</v>
      </c>
      <c r="E308" s="2" t="s">
        <v>446</v>
      </c>
      <c r="F308" s="2" t="s">
        <v>718</v>
      </c>
      <c r="G308" s="3">
        <v>6340</v>
      </c>
      <c r="H308" s="3">
        <v>103</v>
      </c>
      <c r="I308" s="3">
        <v>9</v>
      </c>
      <c r="J308" s="3">
        <v>159</v>
      </c>
      <c r="K308" s="3">
        <v>2095</v>
      </c>
      <c r="L308" s="3">
        <v>5603</v>
      </c>
      <c r="M308" s="3">
        <v>3880</v>
      </c>
      <c r="N308" s="3">
        <v>1128</v>
      </c>
      <c r="O308" s="5">
        <v>94.5</v>
      </c>
      <c r="P308" s="5">
        <v>0.9</v>
      </c>
      <c r="Q308" s="5">
        <v>0.1</v>
      </c>
      <c r="R308" s="5">
        <v>4.5</v>
      </c>
      <c r="S308" s="5">
        <v>21.3</v>
      </c>
      <c r="T308" s="5">
        <v>42.1</v>
      </c>
      <c r="U308" s="5">
        <v>23</v>
      </c>
      <c r="V308" s="5">
        <v>13.6</v>
      </c>
      <c r="W308" s="5">
        <f t="shared" si="10"/>
        <v>36.6</v>
      </c>
      <c r="X308" s="3">
        <v>2.6372083319411472</v>
      </c>
      <c r="Y308" t="s">
        <v>609</v>
      </c>
      <c r="Z308" s="4">
        <v>44375</v>
      </c>
      <c r="AA308" t="s">
        <v>467</v>
      </c>
      <c r="AB308" t="s">
        <v>472</v>
      </c>
      <c r="AC308" t="s">
        <v>609</v>
      </c>
      <c r="AD308" t="s">
        <v>1211</v>
      </c>
      <c r="AE308" t="s">
        <v>1365</v>
      </c>
      <c r="AF308" t="s">
        <v>1376</v>
      </c>
      <c r="AG308" s="6">
        <v>0.15</v>
      </c>
      <c r="AH308" s="2">
        <v>0.01</v>
      </c>
      <c r="AI308" s="5">
        <v>20.9</v>
      </c>
      <c r="AJ308" s="2" t="s">
        <v>443</v>
      </c>
      <c r="AK308" s="5">
        <v>19.3</v>
      </c>
      <c r="AL308" s="5">
        <v>9.5</v>
      </c>
      <c r="AM308" s="5">
        <v>31.7</v>
      </c>
      <c r="AN308" s="5">
        <v>13.1</v>
      </c>
      <c r="AO308" s="2">
        <v>3.9</v>
      </c>
      <c r="AP308" s="2">
        <v>0.1</v>
      </c>
      <c r="AQ308" s="2">
        <v>0.1</v>
      </c>
      <c r="AR308" s="2" t="s">
        <v>1371</v>
      </c>
      <c r="AS308" t="s">
        <v>609</v>
      </c>
    </row>
    <row r="309" spans="1:46" ht="17.5" x14ac:dyDescent="0.45">
      <c r="A309" t="s">
        <v>473</v>
      </c>
      <c r="B309" t="s">
        <v>1046</v>
      </c>
      <c r="C309" t="s">
        <v>1035</v>
      </c>
      <c r="D309" s="2" t="s">
        <v>594</v>
      </c>
      <c r="E309" s="2" t="s">
        <v>446</v>
      </c>
      <c r="F309" s="2" t="s">
        <v>716</v>
      </c>
      <c r="G309" s="3">
        <v>113000</v>
      </c>
      <c r="H309" s="3">
        <v>1750</v>
      </c>
      <c r="I309" s="3">
        <v>88</v>
      </c>
      <c r="J309" s="3">
        <v>238</v>
      </c>
      <c r="K309" s="3">
        <v>10206</v>
      </c>
      <c r="L309" s="3">
        <v>51913</v>
      </c>
      <c r="M309" s="3">
        <v>166123</v>
      </c>
      <c r="N309" s="3">
        <v>24840</v>
      </c>
      <c r="O309" s="5">
        <v>98.6</v>
      </c>
      <c r="P309" s="5">
        <v>0.9</v>
      </c>
      <c r="Q309" s="5">
        <v>0.1</v>
      </c>
      <c r="R309" s="5">
        <v>0.4</v>
      </c>
      <c r="S309" s="5">
        <v>5.9</v>
      </c>
      <c r="T309" s="5">
        <v>22</v>
      </c>
      <c r="U309" s="5">
        <v>55.3</v>
      </c>
      <c r="V309" s="5">
        <v>16.8</v>
      </c>
      <c r="W309" s="5">
        <f t="shared" si="10"/>
        <v>72.099999999999994</v>
      </c>
      <c r="X309" s="3">
        <v>0.65371696962374304</v>
      </c>
      <c r="Y309" t="s">
        <v>609</v>
      </c>
      <c r="Z309" s="4">
        <v>44375</v>
      </c>
      <c r="AA309" t="s">
        <v>467</v>
      </c>
      <c r="AB309" t="s">
        <v>474</v>
      </c>
      <c r="AC309" t="s">
        <v>609</v>
      </c>
      <c r="AD309" t="s">
        <v>1212</v>
      </c>
      <c r="AE309" t="s">
        <v>1365</v>
      </c>
      <c r="AF309" t="s">
        <v>1376</v>
      </c>
      <c r="AG309" s="6">
        <v>0.2</v>
      </c>
      <c r="AH309" s="2">
        <v>0.01</v>
      </c>
      <c r="AI309" s="5">
        <v>107.8</v>
      </c>
      <c r="AJ309" s="2">
        <v>115.7</v>
      </c>
      <c r="AK309" s="5">
        <v>368.2</v>
      </c>
      <c r="AL309" s="5">
        <v>9.6</v>
      </c>
      <c r="AM309" s="5">
        <v>29.5</v>
      </c>
      <c r="AN309" s="5">
        <v>15.2</v>
      </c>
      <c r="AO309" s="2">
        <v>18.100000000000001</v>
      </c>
      <c r="AP309" s="2">
        <v>0.1</v>
      </c>
      <c r="AQ309" s="2">
        <v>0.1</v>
      </c>
      <c r="AR309" s="2" t="s">
        <v>1371</v>
      </c>
      <c r="AS309" t="s">
        <v>609</v>
      </c>
      <c r="AT309" t="s">
        <v>1054</v>
      </c>
    </row>
    <row r="310" spans="1:46" ht="17.5" x14ac:dyDescent="0.45">
      <c r="A310" t="s">
        <v>475</v>
      </c>
      <c r="B310" t="s">
        <v>1046</v>
      </c>
      <c r="C310" t="s">
        <v>1036</v>
      </c>
      <c r="D310" s="2" t="s">
        <v>594</v>
      </c>
      <c r="E310" s="2" t="s">
        <v>446</v>
      </c>
      <c r="F310" s="2" t="s">
        <v>717</v>
      </c>
      <c r="G310" s="3">
        <v>124000</v>
      </c>
      <c r="H310" s="3">
        <v>2530</v>
      </c>
      <c r="I310" s="3">
        <v>100</v>
      </c>
      <c r="J310" s="3">
        <v>5411</v>
      </c>
      <c r="K310" s="3">
        <v>145550</v>
      </c>
      <c r="L310" s="3">
        <v>86687</v>
      </c>
      <c r="M310" s="3">
        <v>5173</v>
      </c>
      <c r="N310" s="3">
        <v>648</v>
      </c>
      <c r="O310" s="5">
        <v>91.3</v>
      </c>
      <c r="P310" s="5">
        <v>1.1000000000000001</v>
      </c>
      <c r="Q310" s="5">
        <v>0.1</v>
      </c>
      <c r="R310" s="5">
        <v>7.5</v>
      </c>
      <c r="S310" s="5">
        <v>68.2</v>
      </c>
      <c r="T310" s="5">
        <v>30</v>
      </c>
      <c r="U310" s="5">
        <v>1.4</v>
      </c>
      <c r="V310" s="5">
        <v>0.4</v>
      </c>
      <c r="W310" s="5">
        <f t="shared" si="10"/>
        <v>1.7999999999999998</v>
      </c>
      <c r="X310" s="3">
        <v>-0.90824237090787152</v>
      </c>
      <c r="Y310" t="s">
        <v>609</v>
      </c>
      <c r="Z310" s="4">
        <v>44377</v>
      </c>
      <c r="AA310" t="s">
        <v>467</v>
      </c>
      <c r="AB310" t="s">
        <v>476</v>
      </c>
      <c r="AC310" t="s">
        <v>609</v>
      </c>
      <c r="AD310" t="s">
        <v>1213</v>
      </c>
      <c r="AE310" t="s">
        <v>1365</v>
      </c>
      <c r="AF310" t="s">
        <v>1376</v>
      </c>
      <c r="AG310" s="6">
        <v>0.04</v>
      </c>
      <c r="AH310" s="2">
        <v>0.01</v>
      </c>
      <c r="AI310" s="5">
        <v>181.1</v>
      </c>
      <c r="AJ310" s="2">
        <v>196.3</v>
      </c>
      <c r="AK310" s="5">
        <v>370.1</v>
      </c>
      <c r="AL310" s="5">
        <v>7.5</v>
      </c>
      <c r="AM310" s="5">
        <v>30.3</v>
      </c>
      <c r="AN310" s="5">
        <v>0.8</v>
      </c>
      <c r="AO310" s="2">
        <v>8.8000000000000007</v>
      </c>
      <c r="AP310" s="2">
        <v>8</v>
      </c>
      <c r="AQ310" s="2">
        <v>0.1</v>
      </c>
      <c r="AR310" s="2" t="s">
        <v>1371</v>
      </c>
      <c r="AS310" t="s">
        <v>609</v>
      </c>
      <c r="AT310" t="s">
        <v>1054</v>
      </c>
    </row>
    <row r="311" spans="1:46" ht="17.5" x14ac:dyDescent="0.45">
      <c r="A311" t="s">
        <v>477</v>
      </c>
      <c r="B311" t="s">
        <v>1046</v>
      </c>
      <c r="C311" t="s">
        <v>1036</v>
      </c>
      <c r="D311" s="2" t="s">
        <v>594</v>
      </c>
      <c r="E311" s="2" t="s">
        <v>446</v>
      </c>
      <c r="F311" s="2" t="s">
        <v>717</v>
      </c>
      <c r="G311" s="3">
        <v>90000</v>
      </c>
      <c r="H311" s="3">
        <v>2310</v>
      </c>
      <c r="I311" s="3">
        <v>130</v>
      </c>
      <c r="J311" s="3">
        <v>6123</v>
      </c>
      <c r="K311" s="3">
        <v>70290</v>
      </c>
      <c r="L311" s="3">
        <v>108497</v>
      </c>
      <c r="M311" s="3">
        <v>1440</v>
      </c>
      <c r="N311" s="3">
        <v>336</v>
      </c>
      <c r="O311" s="5">
        <v>87.3</v>
      </c>
      <c r="P311" s="5">
        <v>1.3</v>
      </c>
      <c r="Q311" s="5">
        <v>0.1</v>
      </c>
      <c r="R311" s="5">
        <v>11.2</v>
      </c>
      <c r="S311" s="5">
        <v>46.4</v>
      </c>
      <c r="T311" s="5">
        <v>52.8</v>
      </c>
      <c r="U311" s="5">
        <v>0.6</v>
      </c>
      <c r="V311" s="5">
        <v>0.3</v>
      </c>
      <c r="W311" s="5">
        <f t="shared" si="10"/>
        <v>0.89999999999999991</v>
      </c>
      <c r="X311" s="3">
        <v>2.3711161459740002</v>
      </c>
      <c r="Y311" t="s">
        <v>609</v>
      </c>
      <c r="Z311" s="4">
        <v>44377</v>
      </c>
      <c r="AA311" t="s">
        <v>467</v>
      </c>
      <c r="AB311" t="s">
        <v>478</v>
      </c>
      <c r="AC311" t="s">
        <v>609</v>
      </c>
      <c r="AD311" t="s">
        <v>1214</v>
      </c>
      <c r="AE311" t="s">
        <v>1365</v>
      </c>
      <c r="AF311" t="s">
        <v>1376</v>
      </c>
      <c r="AG311" s="6">
        <v>0.2</v>
      </c>
      <c r="AH311" s="2">
        <v>0.01</v>
      </c>
      <c r="AI311" s="5">
        <v>151.6</v>
      </c>
      <c r="AJ311" s="2">
        <v>163.80000000000001</v>
      </c>
      <c r="AK311" s="5">
        <v>279.10000000000002</v>
      </c>
      <c r="AL311" s="5">
        <v>7.7</v>
      </c>
      <c r="AM311" s="5">
        <v>36.1</v>
      </c>
      <c r="AN311" s="5">
        <v>18</v>
      </c>
      <c r="AO311" s="2">
        <v>5.8</v>
      </c>
      <c r="AP311" s="2">
        <v>0.1</v>
      </c>
      <c r="AQ311" s="2">
        <v>0.1</v>
      </c>
      <c r="AR311" s="2" t="s">
        <v>1371</v>
      </c>
      <c r="AS311" t="s">
        <v>609</v>
      </c>
      <c r="AT311" t="s">
        <v>1054</v>
      </c>
    </row>
    <row r="312" spans="1:46" x14ac:dyDescent="0.35">
      <c r="A312" t="s">
        <v>479</v>
      </c>
      <c r="B312" t="s">
        <v>968</v>
      </c>
      <c r="C312" t="s">
        <v>1048</v>
      </c>
      <c r="D312" s="2" t="s">
        <v>594</v>
      </c>
      <c r="E312" s="2" t="s">
        <v>446</v>
      </c>
      <c r="F312" s="2" t="s">
        <v>717</v>
      </c>
      <c r="G312" s="3">
        <v>1785</v>
      </c>
      <c r="H312" s="3">
        <v>153</v>
      </c>
      <c r="I312" s="3">
        <v>356</v>
      </c>
      <c r="J312" s="3">
        <v>34</v>
      </c>
      <c r="K312" s="3">
        <v>1420</v>
      </c>
      <c r="L312" s="3">
        <v>2151</v>
      </c>
      <c r="M312" s="3">
        <v>708</v>
      </c>
      <c r="N312" s="3">
        <v>144</v>
      </c>
      <c r="O312" s="5">
        <v>76</v>
      </c>
      <c r="P312" s="5">
        <v>3.8</v>
      </c>
      <c r="Q312" s="5">
        <v>17.399999999999999</v>
      </c>
      <c r="R312" s="5">
        <v>2.7</v>
      </c>
      <c r="S312" s="5">
        <v>39.6</v>
      </c>
      <c r="T312" s="5">
        <v>44.2</v>
      </c>
      <c r="U312" s="5">
        <v>11.5</v>
      </c>
      <c r="V312" s="5">
        <v>4.7</v>
      </c>
      <c r="W312" s="5">
        <f t="shared" si="10"/>
        <v>16.2</v>
      </c>
      <c r="X312" s="3">
        <v>0.43009082856025127</v>
      </c>
      <c r="Y312" t="s">
        <v>609</v>
      </c>
      <c r="Z312" s="4">
        <v>44377</v>
      </c>
      <c r="AA312" t="s">
        <v>447</v>
      </c>
      <c r="AB312" t="s">
        <v>480</v>
      </c>
      <c r="AC312" t="s">
        <v>609</v>
      </c>
      <c r="AD312" t="s">
        <v>1215</v>
      </c>
      <c r="AE312" t="s">
        <v>1365</v>
      </c>
      <c r="AF312" t="s">
        <v>1376</v>
      </c>
      <c r="AG312" s="6">
        <v>0.15</v>
      </c>
      <c r="AH312" s="2">
        <v>0.01</v>
      </c>
      <c r="AI312" s="5">
        <v>8.5</v>
      </c>
      <c r="AJ312" s="2" t="s">
        <v>443</v>
      </c>
      <c r="AK312" s="5">
        <v>6.8</v>
      </c>
      <c r="AL312" s="5">
        <v>8.6999999999999993</v>
      </c>
      <c r="AM312" s="5">
        <v>29.9</v>
      </c>
      <c r="AN312" s="5">
        <v>8</v>
      </c>
      <c r="AO312" s="2">
        <v>2.9</v>
      </c>
      <c r="AP312" s="2">
        <v>0.1</v>
      </c>
      <c r="AQ312" s="2">
        <v>0.1</v>
      </c>
      <c r="AR312" s="2" t="s">
        <v>1371</v>
      </c>
      <c r="AS312" t="s">
        <v>609</v>
      </c>
    </row>
    <row r="313" spans="1:46" ht="17.5" x14ac:dyDescent="0.45">
      <c r="A313" t="s">
        <v>481</v>
      </c>
      <c r="B313" t="s">
        <v>968</v>
      </c>
      <c r="C313" t="s">
        <v>1049</v>
      </c>
      <c r="D313" s="2" t="s">
        <v>594</v>
      </c>
      <c r="E313" s="2" t="s">
        <v>446</v>
      </c>
      <c r="F313" s="2" t="s">
        <v>717</v>
      </c>
      <c r="G313" s="3">
        <v>143000</v>
      </c>
      <c r="H313" s="3">
        <v>5090</v>
      </c>
      <c r="I313" s="3">
        <v>687</v>
      </c>
      <c r="J313" s="3">
        <v>21471</v>
      </c>
      <c r="K313" s="3">
        <v>94075</v>
      </c>
      <c r="L313" s="3">
        <v>255800</v>
      </c>
      <c r="M313" s="3">
        <v>4807</v>
      </c>
      <c r="N313" s="3">
        <v>852</v>
      </c>
      <c r="O313" s="5">
        <v>76.3</v>
      </c>
      <c r="P313" s="5">
        <v>1.6</v>
      </c>
      <c r="Q313" s="5">
        <v>0.4</v>
      </c>
      <c r="R313" s="5">
        <v>21.7</v>
      </c>
      <c r="S313" s="5">
        <v>32.799999999999997</v>
      </c>
      <c r="T313" s="5">
        <v>65.900000000000006</v>
      </c>
      <c r="U313" s="5">
        <v>1</v>
      </c>
      <c r="V313" s="5">
        <v>0.4</v>
      </c>
      <c r="W313" s="5">
        <f t="shared" si="10"/>
        <v>1.4</v>
      </c>
      <c r="X313" s="3">
        <v>0.40005940924259814</v>
      </c>
      <c r="Y313" t="s">
        <v>609</v>
      </c>
      <c r="Z313" s="4">
        <v>44378</v>
      </c>
      <c r="AA313" t="s">
        <v>447</v>
      </c>
      <c r="AB313" t="s">
        <v>482</v>
      </c>
      <c r="AC313" t="s">
        <v>609</v>
      </c>
      <c r="AD313" t="s">
        <v>1216</v>
      </c>
      <c r="AE313" t="s">
        <v>1365</v>
      </c>
      <c r="AF313" t="s">
        <v>1376</v>
      </c>
      <c r="AG313" s="6">
        <v>0.03</v>
      </c>
      <c r="AH313" s="2">
        <v>0.01</v>
      </c>
      <c r="AI313" s="5">
        <v>145.69999999999999</v>
      </c>
      <c r="AJ313" s="2">
        <v>157.4</v>
      </c>
      <c r="AK313" s="5">
        <v>525.79999999999995</v>
      </c>
      <c r="AL313" s="5">
        <v>7.3</v>
      </c>
      <c r="AM313" s="5">
        <v>34.200000000000003</v>
      </c>
      <c r="AN313" s="5">
        <v>1.3</v>
      </c>
      <c r="AO313" s="2">
        <v>7.8</v>
      </c>
      <c r="AP313" s="2">
        <v>0.1</v>
      </c>
      <c r="AQ313" s="2">
        <v>0.1</v>
      </c>
      <c r="AR313" s="2" t="s">
        <v>1371</v>
      </c>
      <c r="AS313" t="s">
        <v>609</v>
      </c>
      <c r="AT313" t="s">
        <v>1054</v>
      </c>
    </row>
    <row r="314" spans="1:46" x14ac:dyDescent="0.35">
      <c r="A314" t="s">
        <v>483</v>
      </c>
      <c r="B314" t="s">
        <v>968</v>
      </c>
      <c r="C314" t="s">
        <v>1050</v>
      </c>
      <c r="D314" s="2" t="s">
        <v>594</v>
      </c>
      <c r="E314" s="2" t="s">
        <v>446</v>
      </c>
      <c r="F314" s="2" t="s">
        <v>716</v>
      </c>
      <c r="G314" s="3">
        <v>2458</v>
      </c>
      <c r="H314" s="3">
        <v>133</v>
      </c>
      <c r="I314" s="3">
        <v>20</v>
      </c>
      <c r="J314" s="3">
        <v>341</v>
      </c>
      <c r="K314" s="3">
        <v>1243</v>
      </c>
      <c r="L314" s="3">
        <v>1677</v>
      </c>
      <c r="M314" s="3">
        <v>537</v>
      </c>
      <c r="N314" s="3">
        <v>1680</v>
      </c>
      <c r="O314" s="5">
        <v>76.7</v>
      </c>
      <c r="P314" s="5">
        <v>2.4</v>
      </c>
      <c r="Q314" s="5">
        <v>0.7</v>
      </c>
      <c r="R314" s="5">
        <v>20.100000000000001</v>
      </c>
      <c r="S314" s="5">
        <v>26</v>
      </c>
      <c r="T314" s="5">
        <v>25.9</v>
      </c>
      <c r="U314" s="5">
        <v>6.5</v>
      </c>
      <c r="V314" s="5">
        <v>41.6</v>
      </c>
      <c r="W314" s="5">
        <f t="shared" si="10"/>
        <v>48.1</v>
      </c>
      <c r="X314" s="3">
        <v>1.6785364638521809</v>
      </c>
      <c r="Y314" t="s">
        <v>609</v>
      </c>
      <c r="Z314" s="4">
        <v>44378</v>
      </c>
      <c r="AA314" t="s">
        <v>447</v>
      </c>
      <c r="AB314" t="s">
        <v>484</v>
      </c>
      <c r="AC314" t="s">
        <v>609</v>
      </c>
      <c r="AD314" t="s">
        <v>1217</v>
      </c>
      <c r="AE314" t="s">
        <v>1365</v>
      </c>
      <c r="AF314" t="s">
        <v>1376</v>
      </c>
      <c r="AG314" s="6">
        <v>0.5</v>
      </c>
      <c r="AH314" s="2">
        <v>0.01</v>
      </c>
      <c r="AI314" s="5">
        <v>7.4</v>
      </c>
      <c r="AJ314" s="2" t="s">
        <v>443</v>
      </c>
      <c r="AK314" s="5">
        <v>8.1</v>
      </c>
      <c r="AL314" s="5">
        <v>8.8000000000000007</v>
      </c>
      <c r="AM314" s="5">
        <v>27.9</v>
      </c>
      <c r="AN314" s="5">
        <v>7.6</v>
      </c>
      <c r="AO314" s="2">
        <v>1.4</v>
      </c>
      <c r="AP314" s="2">
        <v>19.600000000000001</v>
      </c>
      <c r="AQ314" s="2">
        <v>17.8</v>
      </c>
      <c r="AR314" s="2" t="s">
        <v>1371</v>
      </c>
      <c r="AS314" t="s">
        <v>609</v>
      </c>
    </row>
    <row r="315" spans="1:46" x14ac:dyDescent="0.35">
      <c r="A315" t="s">
        <v>485</v>
      </c>
      <c r="B315" t="s">
        <v>1046</v>
      </c>
      <c r="C315" t="s">
        <v>1036</v>
      </c>
      <c r="D315" s="2" t="s">
        <v>594</v>
      </c>
      <c r="E315" s="2" t="s">
        <v>446</v>
      </c>
      <c r="F315" s="2" t="s">
        <v>717</v>
      </c>
      <c r="G315" s="3">
        <v>595</v>
      </c>
      <c r="H315" s="3">
        <v>39</v>
      </c>
      <c r="I315" s="3">
        <v>22</v>
      </c>
      <c r="J315" s="3">
        <v>54</v>
      </c>
      <c r="K315" s="3">
        <v>405</v>
      </c>
      <c r="L315" s="3">
        <v>647</v>
      </c>
      <c r="M315" s="3">
        <v>268</v>
      </c>
      <c r="N315" s="3">
        <v>96</v>
      </c>
      <c r="O315" s="5">
        <v>80</v>
      </c>
      <c r="P315" s="5">
        <v>3</v>
      </c>
      <c r="Q315" s="5">
        <v>3.4</v>
      </c>
      <c r="R315" s="5">
        <v>13.6</v>
      </c>
      <c r="S315" s="5">
        <v>35.200000000000003</v>
      </c>
      <c r="T315" s="5">
        <v>41.5</v>
      </c>
      <c r="U315" s="5">
        <v>13.5</v>
      </c>
      <c r="V315" s="5">
        <v>9.8000000000000007</v>
      </c>
      <c r="W315" s="5">
        <f t="shared" si="10"/>
        <v>23.3</v>
      </c>
      <c r="X315" s="3">
        <v>-0.1028884679666881</v>
      </c>
      <c r="Y315" t="s">
        <v>609</v>
      </c>
      <c r="Z315" s="4">
        <v>44379</v>
      </c>
      <c r="AA315" t="s">
        <v>486</v>
      </c>
      <c r="AB315" t="s">
        <v>487</v>
      </c>
      <c r="AC315" t="s">
        <v>609</v>
      </c>
      <c r="AD315" t="s">
        <v>1218</v>
      </c>
      <c r="AE315" t="s">
        <v>1365</v>
      </c>
      <c r="AF315" t="s">
        <v>1376</v>
      </c>
      <c r="AG315" s="6">
        <v>0.56999999999999995</v>
      </c>
      <c r="AH315" s="2">
        <v>0.01</v>
      </c>
      <c r="AI315" s="5">
        <v>3</v>
      </c>
      <c r="AJ315" s="2" t="s">
        <v>443</v>
      </c>
      <c r="AK315" s="5">
        <v>2.1</v>
      </c>
      <c r="AL315" s="5">
        <v>10.3</v>
      </c>
      <c r="AM315" s="5">
        <v>28.8</v>
      </c>
      <c r="AN315" s="5">
        <v>13.8</v>
      </c>
      <c r="AO315" s="2">
        <v>1.5</v>
      </c>
      <c r="AP315" s="2">
        <v>57.8</v>
      </c>
      <c r="AQ315" s="2">
        <v>40.1</v>
      </c>
      <c r="AR315" s="2" t="s">
        <v>1371</v>
      </c>
      <c r="AS315" t="s">
        <v>609</v>
      </c>
    </row>
    <row r="316" spans="1:46" x14ac:dyDescent="0.35">
      <c r="A316" t="s">
        <v>488</v>
      </c>
      <c r="B316" t="s">
        <v>1046</v>
      </c>
      <c r="C316" t="s">
        <v>1035</v>
      </c>
      <c r="D316" s="2" t="s">
        <v>594</v>
      </c>
      <c r="E316" s="2" t="s">
        <v>446</v>
      </c>
      <c r="F316" s="2" t="s">
        <v>716</v>
      </c>
      <c r="G316" s="3">
        <v>363</v>
      </c>
      <c r="H316" s="3">
        <v>46</v>
      </c>
      <c r="I316" s="3">
        <v>30</v>
      </c>
      <c r="J316" s="3">
        <v>116</v>
      </c>
      <c r="K316" s="3">
        <v>293</v>
      </c>
      <c r="L316" s="3">
        <v>429</v>
      </c>
      <c r="M316" s="3">
        <v>561</v>
      </c>
      <c r="N316" s="3">
        <v>84</v>
      </c>
      <c r="O316" s="5">
        <v>56.4</v>
      </c>
      <c r="P316" s="5">
        <v>4.2</v>
      </c>
      <c r="Q316" s="5">
        <v>5.4</v>
      </c>
      <c r="R316" s="5">
        <v>34</v>
      </c>
      <c r="S316" s="5">
        <v>28.3</v>
      </c>
      <c r="T316" s="5">
        <v>30.6</v>
      </c>
      <c r="U316" s="5">
        <v>31.5</v>
      </c>
      <c r="V316" s="5">
        <v>9.6</v>
      </c>
      <c r="W316" s="5">
        <f t="shared" si="10"/>
        <v>41.1</v>
      </c>
      <c r="X316" s="3">
        <v>-2.0637927452962259</v>
      </c>
      <c r="Y316" t="s">
        <v>609</v>
      </c>
      <c r="Z316" s="4">
        <v>44379</v>
      </c>
      <c r="AA316" t="s">
        <v>486</v>
      </c>
      <c r="AB316" t="s">
        <v>489</v>
      </c>
      <c r="AC316" t="s">
        <v>609</v>
      </c>
      <c r="AD316" t="s">
        <v>1219</v>
      </c>
      <c r="AE316" t="s">
        <v>1365</v>
      </c>
      <c r="AF316" t="s">
        <v>1376</v>
      </c>
      <c r="AG316" s="6">
        <v>2</v>
      </c>
      <c r="AH316" s="2">
        <v>0.01</v>
      </c>
      <c r="AI316" s="5">
        <v>2.8</v>
      </c>
      <c r="AJ316" s="2" t="s">
        <v>443</v>
      </c>
      <c r="AK316" s="5">
        <v>1.9</v>
      </c>
      <c r="AL316" s="5">
        <v>9.1</v>
      </c>
      <c r="AM316" s="5">
        <v>29.7</v>
      </c>
      <c r="AN316" s="5">
        <v>11.7</v>
      </c>
      <c r="AO316" s="2">
        <v>13.7</v>
      </c>
      <c r="AP316" s="2">
        <v>22.7</v>
      </c>
      <c r="AQ316" s="2">
        <v>18.899999999999999</v>
      </c>
      <c r="AR316" s="2" t="s">
        <v>1371</v>
      </c>
      <c r="AS316" t="s">
        <v>609</v>
      </c>
    </row>
    <row r="317" spans="1:46" x14ac:dyDescent="0.35">
      <c r="A317" t="s">
        <v>490</v>
      </c>
      <c r="B317" t="s">
        <v>1051</v>
      </c>
      <c r="C317" t="s">
        <v>1036</v>
      </c>
      <c r="D317" s="2" t="s">
        <v>594</v>
      </c>
      <c r="E317" s="2" t="s">
        <v>446</v>
      </c>
      <c r="F317" s="2" t="s">
        <v>717</v>
      </c>
      <c r="G317" s="3">
        <v>380</v>
      </c>
      <c r="H317" s="3">
        <v>7</v>
      </c>
      <c r="I317" s="3">
        <v>36</v>
      </c>
      <c r="J317" s="3">
        <v>32</v>
      </c>
      <c r="K317" s="3">
        <v>568</v>
      </c>
      <c r="L317" s="3">
        <v>64</v>
      </c>
      <c r="M317" s="3">
        <v>256</v>
      </c>
      <c r="N317" s="3">
        <v>0</v>
      </c>
      <c r="O317" s="5">
        <v>78.3</v>
      </c>
      <c r="P317" s="5">
        <v>0.9</v>
      </c>
      <c r="Q317" s="5">
        <v>8.5</v>
      </c>
      <c r="R317" s="5">
        <v>12.3</v>
      </c>
      <c r="S317" s="5">
        <v>74.3</v>
      </c>
      <c r="T317" s="5">
        <v>6.2</v>
      </c>
      <c r="U317" s="5">
        <v>19.5</v>
      </c>
      <c r="V317" s="5">
        <v>0</v>
      </c>
      <c r="W317" s="5">
        <f t="shared" si="10"/>
        <v>19.5</v>
      </c>
      <c r="X317" s="3">
        <v>-0.96585105040567465</v>
      </c>
      <c r="Y317" t="s">
        <v>609</v>
      </c>
      <c r="Z317" s="4">
        <v>44397</v>
      </c>
      <c r="AA317" t="s">
        <v>1053</v>
      </c>
      <c r="AB317" t="s">
        <v>492</v>
      </c>
      <c r="AC317" t="s">
        <v>609</v>
      </c>
      <c r="AD317" t="s">
        <v>1220</v>
      </c>
      <c r="AE317" t="s">
        <v>1365</v>
      </c>
      <c r="AF317" t="s">
        <v>1376</v>
      </c>
      <c r="AG317" s="6">
        <v>0.4</v>
      </c>
      <c r="AH317" s="2">
        <v>0.01</v>
      </c>
      <c r="AI317" s="5">
        <v>0.7</v>
      </c>
      <c r="AJ317" s="2" t="s">
        <v>443</v>
      </c>
      <c r="AK317" s="5">
        <v>1.3</v>
      </c>
      <c r="AL317" s="5">
        <v>8.6999999999999993</v>
      </c>
      <c r="AM317" s="5">
        <v>26.4</v>
      </c>
      <c r="AN317" s="5">
        <v>9.6</v>
      </c>
      <c r="AO317" s="2">
        <v>8.1</v>
      </c>
      <c r="AP317" s="2">
        <v>0.1</v>
      </c>
      <c r="AQ317" s="2">
        <v>0.1</v>
      </c>
      <c r="AR317" s="2" t="s">
        <v>1371</v>
      </c>
      <c r="AS317" t="s">
        <v>609</v>
      </c>
    </row>
    <row r="318" spans="1:46" x14ac:dyDescent="0.35">
      <c r="A318" t="s">
        <v>493</v>
      </c>
      <c r="B318" t="s">
        <v>496</v>
      </c>
      <c r="C318" t="s">
        <v>1052</v>
      </c>
      <c r="D318" s="2" t="s">
        <v>594</v>
      </c>
      <c r="E318" s="2" t="s">
        <v>446</v>
      </c>
      <c r="F318" s="2" t="s">
        <v>718</v>
      </c>
      <c r="G318" s="3">
        <v>1750</v>
      </c>
      <c r="H318" s="3">
        <v>98</v>
      </c>
      <c r="I318" s="3">
        <v>32</v>
      </c>
      <c r="J318" s="3">
        <v>601</v>
      </c>
      <c r="K318" s="3">
        <v>284</v>
      </c>
      <c r="L318" s="3">
        <v>4101</v>
      </c>
      <c r="M318" s="3">
        <v>2135</v>
      </c>
      <c r="N318" s="3">
        <v>240</v>
      </c>
      <c r="O318" s="5">
        <v>58.7</v>
      </c>
      <c r="P318" s="5">
        <v>1.9</v>
      </c>
      <c r="Q318" s="5">
        <v>1.2</v>
      </c>
      <c r="R318" s="5">
        <v>38.1</v>
      </c>
      <c r="S318" s="5">
        <v>5.9</v>
      </c>
      <c r="T318" s="5">
        <v>62.6</v>
      </c>
      <c r="U318" s="5">
        <v>25.7</v>
      </c>
      <c r="V318" s="5">
        <v>5.9</v>
      </c>
      <c r="W318" s="5">
        <f t="shared" si="10"/>
        <v>31.6</v>
      </c>
      <c r="X318" s="3">
        <v>-2.5164873463418638</v>
      </c>
      <c r="Y318" t="s">
        <v>609</v>
      </c>
      <c r="Z318" s="4">
        <v>44397</v>
      </c>
      <c r="AA318" t="s">
        <v>491</v>
      </c>
      <c r="AB318" t="s">
        <v>494</v>
      </c>
      <c r="AC318" t="s">
        <v>609</v>
      </c>
      <c r="AD318" t="s">
        <v>1221</v>
      </c>
      <c r="AE318" t="s">
        <v>1365</v>
      </c>
      <c r="AF318" t="s">
        <v>1376</v>
      </c>
      <c r="AG318" s="6">
        <v>1</v>
      </c>
      <c r="AH318" s="2">
        <v>0.01</v>
      </c>
      <c r="AI318" s="5">
        <v>16.600000000000001</v>
      </c>
      <c r="AJ318" s="2" t="s">
        <v>443</v>
      </c>
      <c r="AK318" s="5">
        <v>9.1999999999999993</v>
      </c>
      <c r="AL318" s="5">
        <v>8.6999999999999993</v>
      </c>
      <c r="AM318" s="5">
        <v>29.5</v>
      </c>
      <c r="AN318" s="5">
        <v>8.9</v>
      </c>
      <c r="AO318" s="2">
        <v>24.3</v>
      </c>
      <c r="AP318" s="2">
        <v>0.1</v>
      </c>
      <c r="AQ318" s="2">
        <v>0.1</v>
      </c>
      <c r="AR318" s="2" t="s">
        <v>1371</v>
      </c>
      <c r="AS318" t="s">
        <v>609</v>
      </c>
    </row>
    <row r="319" spans="1:46" x14ac:dyDescent="0.35">
      <c r="A319" t="s">
        <v>495</v>
      </c>
      <c r="B319" t="s">
        <v>496</v>
      </c>
      <c r="C319" t="s">
        <v>1036</v>
      </c>
      <c r="D319" s="2" t="s">
        <v>594</v>
      </c>
      <c r="E319" s="2" t="s">
        <v>446</v>
      </c>
      <c r="F319" s="2" t="s">
        <v>717</v>
      </c>
      <c r="G319" s="3">
        <v>2056</v>
      </c>
      <c r="H319" s="3">
        <v>50</v>
      </c>
      <c r="I319" s="3">
        <v>55</v>
      </c>
      <c r="J319" s="3">
        <v>305</v>
      </c>
      <c r="K319" s="3">
        <v>1420</v>
      </c>
      <c r="L319" s="3">
        <v>2583</v>
      </c>
      <c r="M319" s="3">
        <v>915</v>
      </c>
      <c r="N319" s="3">
        <v>240</v>
      </c>
      <c r="O319" s="5">
        <v>75.400000000000006</v>
      </c>
      <c r="P319" s="5">
        <v>1.1000000000000001</v>
      </c>
      <c r="Q319" s="5">
        <v>2.2999999999999998</v>
      </c>
      <c r="R319" s="5">
        <v>21.2</v>
      </c>
      <c r="S319" s="5">
        <v>34.299999999999997</v>
      </c>
      <c r="T319" s="5">
        <v>46</v>
      </c>
      <c r="U319" s="5">
        <v>12.8</v>
      </c>
      <c r="V319" s="5">
        <v>6.8</v>
      </c>
      <c r="W319" s="5">
        <f t="shared" si="10"/>
        <v>19.600000000000001</v>
      </c>
      <c r="X319" s="3">
        <v>0.73324512122721486</v>
      </c>
      <c r="Y319" t="s">
        <v>609</v>
      </c>
      <c r="Z319" s="4">
        <v>44397</v>
      </c>
      <c r="AA319" t="s">
        <v>491</v>
      </c>
      <c r="AB319" t="s">
        <v>497</v>
      </c>
      <c r="AC319" t="s">
        <v>609</v>
      </c>
      <c r="AD319" t="s">
        <v>1222</v>
      </c>
      <c r="AE319" t="s">
        <v>1365</v>
      </c>
      <c r="AF319" t="s">
        <v>1376</v>
      </c>
      <c r="AG319" s="6">
        <v>0.5</v>
      </c>
      <c r="AH319" s="2">
        <v>0.01</v>
      </c>
      <c r="AI319" s="5">
        <v>9.6999999999999993</v>
      </c>
      <c r="AJ319" s="2" t="s">
        <v>443</v>
      </c>
      <c r="AK319" s="5">
        <v>7.6</v>
      </c>
      <c r="AL319" s="5">
        <v>9</v>
      </c>
      <c r="AM319" s="5">
        <v>30.5</v>
      </c>
      <c r="AN319" s="5">
        <v>14.4</v>
      </c>
      <c r="AO319" s="2">
        <v>1.6</v>
      </c>
      <c r="AP319" s="2">
        <v>0.1</v>
      </c>
      <c r="AQ319" s="2">
        <v>0.1</v>
      </c>
      <c r="AR319" s="2" t="s">
        <v>1371</v>
      </c>
      <c r="AS319" t="s">
        <v>609</v>
      </c>
    </row>
    <row r="320" spans="1:46" x14ac:dyDescent="0.35">
      <c r="A320" t="s">
        <v>498</v>
      </c>
      <c r="B320" t="s">
        <v>496</v>
      </c>
      <c r="C320" t="s">
        <v>1036</v>
      </c>
      <c r="D320" s="2" t="s">
        <v>594</v>
      </c>
      <c r="E320" s="2" t="s">
        <v>446</v>
      </c>
      <c r="F320" s="2" t="s">
        <v>717</v>
      </c>
      <c r="G320" s="3">
        <v>1830</v>
      </c>
      <c r="H320" s="3">
        <v>46</v>
      </c>
      <c r="I320" s="3">
        <v>34</v>
      </c>
      <c r="J320" s="3">
        <v>308</v>
      </c>
      <c r="K320" s="3">
        <v>1420</v>
      </c>
      <c r="L320" s="3">
        <v>2023</v>
      </c>
      <c r="M320" s="3">
        <v>1068</v>
      </c>
      <c r="N320" s="3">
        <v>120</v>
      </c>
      <c r="O320" s="5">
        <v>73.8</v>
      </c>
      <c r="P320" s="5">
        <v>1.1000000000000001</v>
      </c>
      <c r="Q320" s="5">
        <v>1.6</v>
      </c>
      <c r="R320" s="5">
        <v>23.5</v>
      </c>
      <c r="S320" s="5">
        <v>38.6</v>
      </c>
      <c r="T320" s="5">
        <v>40.6</v>
      </c>
      <c r="U320" s="5">
        <v>16.899999999999999</v>
      </c>
      <c r="V320" s="5">
        <v>3.9</v>
      </c>
      <c r="W320" s="5">
        <f t="shared" si="10"/>
        <v>20.799999999999997</v>
      </c>
      <c r="X320" s="3">
        <v>1.9594761624266175</v>
      </c>
      <c r="Y320" t="s">
        <v>609</v>
      </c>
      <c r="Z320" s="4">
        <v>44398</v>
      </c>
      <c r="AA320" t="s">
        <v>491</v>
      </c>
      <c r="AB320" t="s">
        <v>499</v>
      </c>
      <c r="AC320" t="s">
        <v>609</v>
      </c>
      <c r="AD320" t="s">
        <v>1223</v>
      </c>
      <c r="AE320" t="s">
        <v>1365</v>
      </c>
      <c r="AF320" t="s">
        <v>1376</v>
      </c>
      <c r="AG320" s="6">
        <v>0.45</v>
      </c>
      <c r="AH320" s="2">
        <v>0.01</v>
      </c>
      <c r="AI320" s="5">
        <v>10.199999999999999</v>
      </c>
      <c r="AJ320" s="2" t="s">
        <v>443</v>
      </c>
      <c r="AK320" s="5">
        <v>6.8</v>
      </c>
      <c r="AL320" s="5">
        <v>9</v>
      </c>
      <c r="AM320" s="5">
        <v>27.3</v>
      </c>
      <c r="AN320" s="5">
        <v>7.7</v>
      </c>
      <c r="AO320" s="2">
        <v>2.4</v>
      </c>
      <c r="AP320" s="2">
        <v>0.1</v>
      </c>
      <c r="AQ320" s="2">
        <v>0.1</v>
      </c>
      <c r="AR320" s="2" t="s">
        <v>1371</v>
      </c>
      <c r="AS320" t="s">
        <v>609</v>
      </c>
    </row>
    <row r="321" spans="1:46" x14ac:dyDescent="0.35">
      <c r="A321" t="s">
        <v>500</v>
      </c>
      <c r="B321" t="s">
        <v>496</v>
      </c>
      <c r="C321" t="s">
        <v>1036</v>
      </c>
      <c r="D321" s="2" t="s">
        <v>594</v>
      </c>
      <c r="E321" s="2" t="s">
        <v>446</v>
      </c>
      <c r="F321" s="2" t="s">
        <v>717</v>
      </c>
      <c r="G321" s="3">
        <v>2590</v>
      </c>
      <c r="H321" s="3">
        <v>52</v>
      </c>
      <c r="I321" s="3">
        <v>12</v>
      </c>
      <c r="J321" s="3">
        <v>376</v>
      </c>
      <c r="K321" s="3">
        <v>1775</v>
      </c>
      <c r="L321" s="3">
        <v>3247</v>
      </c>
      <c r="M321" s="3">
        <v>1159</v>
      </c>
      <c r="N321" s="3">
        <v>240</v>
      </c>
      <c r="O321" s="5">
        <v>77.400000000000006</v>
      </c>
      <c r="P321" s="5">
        <v>0.9</v>
      </c>
      <c r="Q321" s="5">
        <v>0.4</v>
      </c>
      <c r="R321" s="5">
        <v>21.3</v>
      </c>
      <c r="S321" s="5">
        <v>34.6</v>
      </c>
      <c r="T321" s="5">
        <v>46.7</v>
      </c>
      <c r="U321" s="5">
        <v>13.1</v>
      </c>
      <c r="V321" s="5">
        <v>5.5</v>
      </c>
      <c r="W321" s="5">
        <f t="shared" si="10"/>
        <v>18.600000000000001</v>
      </c>
      <c r="X321" s="3">
        <v>0.29807965558955163</v>
      </c>
      <c r="Y321" t="s">
        <v>609</v>
      </c>
      <c r="Z321" s="4">
        <v>44398</v>
      </c>
      <c r="AA321" t="s">
        <v>491</v>
      </c>
      <c r="AB321" t="s">
        <v>501</v>
      </c>
      <c r="AC321" t="s">
        <v>609</v>
      </c>
      <c r="AD321" t="s">
        <v>1224</v>
      </c>
      <c r="AE321" t="s">
        <v>1365</v>
      </c>
      <c r="AF321" t="s">
        <v>1376</v>
      </c>
      <c r="AG321" s="6">
        <v>0.33</v>
      </c>
      <c r="AH321" s="2">
        <v>0.01</v>
      </c>
      <c r="AI321" s="5">
        <v>12.3</v>
      </c>
      <c r="AJ321" s="2" t="s">
        <v>443</v>
      </c>
      <c r="AK321" s="5">
        <v>9.5</v>
      </c>
      <c r="AL321" s="5">
        <v>9.4</v>
      </c>
      <c r="AM321" s="5">
        <v>30.1</v>
      </c>
      <c r="AN321" s="5">
        <v>14.3</v>
      </c>
      <c r="AO321" s="2">
        <v>4</v>
      </c>
      <c r="AP321" s="2">
        <v>0.1</v>
      </c>
      <c r="AQ321" s="2">
        <v>0.1</v>
      </c>
      <c r="AR321" s="2" t="s">
        <v>1371</v>
      </c>
      <c r="AS321" t="s">
        <v>609</v>
      </c>
    </row>
    <row r="322" spans="1:46" x14ac:dyDescent="0.35">
      <c r="A322" t="s">
        <v>502</v>
      </c>
      <c r="B322" t="s">
        <v>496</v>
      </c>
      <c r="C322" t="s">
        <v>1036</v>
      </c>
      <c r="D322" s="2" t="s">
        <v>594</v>
      </c>
      <c r="E322" s="2" t="s">
        <v>446</v>
      </c>
      <c r="F322" s="2" t="s">
        <v>717</v>
      </c>
      <c r="G322" s="3">
        <v>2008</v>
      </c>
      <c r="H322" s="3">
        <v>39</v>
      </c>
      <c r="I322" s="3">
        <v>28</v>
      </c>
      <c r="J322" s="3">
        <v>263</v>
      </c>
      <c r="K322" s="3">
        <v>1207</v>
      </c>
      <c r="L322" s="3">
        <v>2254</v>
      </c>
      <c r="M322" s="3">
        <v>854</v>
      </c>
      <c r="N322" s="3">
        <v>120</v>
      </c>
      <c r="O322" s="5">
        <v>78.400000000000006</v>
      </c>
      <c r="P322" s="5">
        <v>0.9</v>
      </c>
      <c r="Q322" s="5">
        <v>1.3</v>
      </c>
      <c r="R322" s="5">
        <v>19.399999999999999</v>
      </c>
      <c r="S322" s="5">
        <v>34.4</v>
      </c>
      <c r="T322" s="5">
        <v>47.4</v>
      </c>
      <c r="U322" s="5">
        <v>14.1</v>
      </c>
      <c r="V322" s="5">
        <v>4</v>
      </c>
      <c r="W322" s="5">
        <f t="shared" ref="W322:W353" si="11">SUM(U322:V322)</f>
        <v>18.100000000000001</v>
      </c>
      <c r="X322" s="3">
        <v>5.8998678572917242</v>
      </c>
      <c r="Y322" t="s">
        <v>609</v>
      </c>
      <c r="Z322" s="4">
        <v>44398</v>
      </c>
      <c r="AA322" t="s">
        <v>491</v>
      </c>
      <c r="AB322" t="s">
        <v>503</v>
      </c>
      <c r="AC322" t="s">
        <v>609</v>
      </c>
      <c r="AD322" t="s">
        <v>1225</v>
      </c>
      <c r="AE322" t="s">
        <v>1365</v>
      </c>
      <c r="AF322" t="s">
        <v>1376</v>
      </c>
      <c r="AG322" s="6">
        <v>0.09</v>
      </c>
      <c r="AH322" s="2">
        <v>0.01</v>
      </c>
      <c r="AI322" s="5">
        <v>8.6</v>
      </c>
      <c r="AJ322" s="2" t="s">
        <v>443</v>
      </c>
      <c r="AK322" s="5">
        <v>6.8</v>
      </c>
      <c r="AL322" s="5">
        <v>8.9</v>
      </c>
      <c r="AM322" s="5">
        <v>32.200000000000003</v>
      </c>
      <c r="AN322" s="5">
        <v>10.5</v>
      </c>
      <c r="AO322" s="2">
        <v>3.8</v>
      </c>
      <c r="AP322" s="2">
        <v>0.1</v>
      </c>
      <c r="AQ322" s="2">
        <v>0.1</v>
      </c>
      <c r="AR322" s="2" t="s">
        <v>1371</v>
      </c>
      <c r="AS322" t="s">
        <v>609</v>
      </c>
    </row>
    <row r="323" spans="1:46" x14ac:dyDescent="0.35">
      <c r="A323" t="s">
        <v>504</v>
      </c>
      <c r="B323" t="s">
        <v>496</v>
      </c>
      <c r="C323" t="s">
        <v>1036</v>
      </c>
      <c r="D323" s="2" t="s">
        <v>594</v>
      </c>
      <c r="E323" s="2" t="s">
        <v>446</v>
      </c>
      <c r="F323" s="2" t="s">
        <v>717</v>
      </c>
      <c r="G323" s="3">
        <v>2490</v>
      </c>
      <c r="H323" s="3">
        <v>72</v>
      </c>
      <c r="I323" s="3">
        <v>14</v>
      </c>
      <c r="J323" s="3">
        <v>393</v>
      </c>
      <c r="K323" s="3">
        <v>2059</v>
      </c>
      <c r="L323" s="3">
        <v>2897</v>
      </c>
      <c r="M323" s="3">
        <v>1251</v>
      </c>
      <c r="N323" s="3">
        <v>270</v>
      </c>
      <c r="O323" s="5">
        <v>75.599999999999994</v>
      </c>
      <c r="P323" s="5">
        <v>1.3</v>
      </c>
      <c r="Q323" s="5">
        <v>0.5</v>
      </c>
      <c r="R323" s="5">
        <v>22.6</v>
      </c>
      <c r="S323" s="5">
        <v>39.299999999999997</v>
      </c>
      <c r="T323" s="5">
        <v>40.799999999999997</v>
      </c>
      <c r="U323" s="5">
        <v>13.9</v>
      </c>
      <c r="V323" s="5">
        <v>6.1</v>
      </c>
      <c r="W323" s="5">
        <f t="shared" si="11"/>
        <v>20</v>
      </c>
      <c r="X323" s="3">
        <v>-1.6166889288671871</v>
      </c>
      <c r="Y323" t="s">
        <v>609</v>
      </c>
      <c r="Z323" s="4">
        <v>44398</v>
      </c>
      <c r="AA323" t="s">
        <v>491</v>
      </c>
      <c r="AB323" t="s">
        <v>505</v>
      </c>
      <c r="AC323" t="s">
        <v>609</v>
      </c>
      <c r="AD323" t="s">
        <v>1226</v>
      </c>
      <c r="AE323" t="s">
        <v>1365</v>
      </c>
      <c r="AF323" t="s">
        <v>1376</v>
      </c>
      <c r="AG323" s="6">
        <v>0.2</v>
      </c>
      <c r="AH323" s="2">
        <v>0.01</v>
      </c>
      <c r="AI323" s="5">
        <v>13.5</v>
      </c>
      <c r="AJ323" s="2" t="s">
        <v>443</v>
      </c>
      <c r="AK323" s="5">
        <v>9.4</v>
      </c>
      <c r="AL323" s="5">
        <v>9.1999999999999993</v>
      </c>
      <c r="AM323" s="5">
        <v>29.2</v>
      </c>
      <c r="AN323" s="5">
        <v>7.8</v>
      </c>
      <c r="AO323" s="2">
        <v>8.1</v>
      </c>
      <c r="AP323" s="2">
        <v>0.1</v>
      </c>
      <c r="AQ323" s="2">
        <v>0.1</v>
      </c>
      <c r="AR323" s="2" t="s">
        <v>1371</v>
      </c>
      <c r="AS323" t="s">
        <v>609</v>
      </c>
    </row>
    <row r="324" spans="1:46" x14ac:dyDescent="0.35">
      <c r="AI324" s="6"/>
      <c r="AJ324" s="6"/>
      <c r="AM324" s="6"/>
      <c r="AN324" s="6"/>
      <c r="AO324" s="6"/>
      <c r="AP324" s="6"/>
      <c r="AQ324" s="6"/>
      <c r="AR324" s="6"/>
    </row>
    <row r="325" spans="1:46" s="29" customFormat="1" x14ac:dyDescent="0.35">
      <c r="A325" s="29" t="s">
        <v>1373</v>
      </c>
    </row>
    <row r="326" spans="1:46" s="15" customFormat="1" ht="16.5" customHeight="1" x14ac:dyDescent="0.35">
      <c r="A326" s="15" t="s">
        <v>589</v>
      </c>
      <c r="B326" s="15" t="s">
        <v>588</v>
      </c>
      <c r="C326" s="15" t="s">
        <v>1005</v>
      </c>
      <c r="D326" s="15" t="s">
        <v>591</v>
      </c>
      <c r="E326" s="15" t="s">
        <v>590</v>
      </c>
      <c r="F326" s="15" t="s">
        <v>715</v>
      </c>
      <c r="G326" s="16" t="s">
        <v>1008</v>
      </c>
      <c r="H326" s="16" t="s">
        <v>1009</v>
      </c>
      <c r="I326" s="16" t="s">
        <v>1010</v>
      </c>
      <c r="J326" s="16" t="s">
        <v>1011</v>
      </c>
      <c r="K326" s="16" t="s">
        <v>1012</v>
      </c>
      <c r="L326" s="16" t="s">
        <v>1013</v>
      </c>
      <c r="M326" s="16" t="s">
        <v>1014</v>
      </c>
      <c r="N326" s="16" t="s">
        <v>608</v>
      </c>
      <c r="O326" s="17" t="s">
        <v>1026</v>
      </c>
      <c r="P326" s="17" t="s">
        <v>1027</v>
      </c>
      <c r="Q326" s="17" t="s">
        <v>1028</v>
      </c>
      <c r="R326" s="17" t="s">
        <v>1029</v>
      </c>
      <c r="S326" s="17" t="s">
        <v>1030</v>
      </c>
      <c r="T326" s="17" t="s">
        <v>1031</v>
      </c>
      <c r="U326" s="17" t="s">
        <v>1032</v>
      </c>
      <c r="V326" s="17" t="s">
        <v>1034</v>
      </c>
      <c r="W326" s="17" t="s">
        <v>1033</v>
      </c>
      <c r="X326" s="15" t="s">
        <v>617</v>
      </c>
      <c r="Y326" s="15" t="s">
        <v>1025</v>
      </c>
      <c r="Z326" s="18" t="s">
        <v>0</v>
      </c>
      <c r="AA326" s="15" t="s">
        <v>1</v>
      </c>
      <c r="AB326" s="15" t="s">
        <v>2</v>
      </c>
      <c r="AC326" s="15" t="s">
        <v>1379</v>
      </c>
      <c r="AD326" s="15" t="s">
        <v>3</v>
      </c>
      <c r="AE326" s="15" t="s">
        <v>1367</v>
      </c>
      <c r="AF326" s="15" t="s">
        <v>1375</v>
      </c>
      <c r="AG326" s="19" t="s">
        <v>1015</v>
      </c>
      <c r="AH326" s="15" t="s">
        <v>1016</v>
      </c>
      <c r="AI326" s="17" t="s">
        <v>1017</v>
      </c>
      <c r="AJ326" s="17" t="s">
        <v>1018</v>
      </c>
      <c r="AK326" s="17" t="s">
        <v>1019</v>
      </c>
      <c r="AL326" s="17" t="s">
        <v>4</v>
      </c>
      <c r="AM326" s="17" t="s">
        <v>1020</v>
      </c>
      <c r="AN326" s="17" t="s">
        <v>1021</v>
      </c>
      <c r="AO326" s="15" t="s">
        <v>1022</v>
      </c>
      <c r="AP326" s="15" t="s">
        <v>1023</v>
      </c>
      <c r="AQ326" s="15" t="s">
        <v>1024</v>
      </c>
      <c r="AR326" s="15" t="s">
        <v>1369</v>
      </c>
      <c r="AS326" s="15" t="s">
        <v>720</v>
      </c>
      <c r="AT326" s="15" t="s">
        <v>606</v>
      </c>
    </row>
    <row r="327" spans="1:46" x14ac:dyDescent="0.35">
      <c r="A327" t="s">
        <v>408</v>
      </c>
      <c r="B327" t="s">
        <v>409</v>
      </c>
      <c r="C327" t="s">
        <v>1035</v>
      </c>
      <c r="D327" s="2" t="s">
        <v>595</v>
      </c>
      <c r="E327" s="2" t="s">
        <v>1309</v>
      </c>
      <c r="F327" s="2" t="s">
        <v>716</v>
      </c>
      <c r="G327" s="3">
        <v>27300</v>
      </c>
      <c r="H327" s="3">
        <v>1460</v>
      </c>
      <c r="I327" s="3">
        <v>4</v>
      </c>
      <c r="J327" s="3">
        <v>37</v>
      </c>
      <c r="K327" s="3">
        <v>17300</v>
      </c>
      <c r="L327" s="3">
        <v>9880</v>
      </c>
      <c r="M327" s="3">
        <v>30400</v>
      </c>
      <c r="N327" s="3" t="s">
        <v>443</v>
      </c>
      <c r="O327" s="5">
        <v>96.695186452070288</v>
      </c>
      <c r="P327" s="5">
        <v>3.040585903842238</v>
      </c>
      <c r="Q327" s="5">
        <v>1.625337118095747E-2</v>
      </c>
      <c r="R327" s="5">
        <v>0.24797427290650914</v>
      </c>
      <c r="S327" s="5">
        <v>40.943519752118057</v>
      </c>
      <c r="T327" s="5">
        <v>17.258365760200864</v>
      </c>
      <c r="U327" s="5">
        <v>41.79811448768109</v>
      </c>
      <c r="V327" s="5" t="s">
        <v>443</v>
      </c>
      <c r="W327" s="5">
        <v>41.79811448768109</v>
      </c>
      <c r="X327" s="2">
        <v>1</v>
      </c>
      <c r="Y327" t="s">
        <v>683</v>
      </c>
      <c r="Z327" s="4">
        <v>41091</v>
      </c>
      <c r="AA327" t="s">
        <v>1363</v>
      </c>
      <c r="AB327" t="s">
        <v>410</v>
      </c>
      <c r="AC327" t="s">
        <v>1328</v>
      </c>
      <c r="AD327" t="s">
        <v>893</v>
      </c>
      <c r="AE327" t="s">
        <v>1364</v>
      </c>
      <c r="AF327" t="s">
        <v>1378</v>
      </c>
      <c r="AG327" s="6">
        <v>41</v>
      </c>
      <c r="AH327" s="2">
        <v>1</v>
      </c>
      <c r="AI327" s="6" t="s">
        <v>443</v>
      </c>
      <c r="AJ327" s="6" t="s">
        <v>443</v>
      </c>
      <c r="AK327" s="5">
        <v>77.599999999999994</v>
      </c>
      <c r="AL327" s="5">
        <v>9.8000000000000007</v>
      </c>
      <c r="AM327" s="5">
        <v>17.2</v>
      </c>
      <c r="AN327" s="5">
        <v>5.2</v>
      </c>
      <c r="AO327" s="6" t="s">
        <v>443</v>
      </c>
      <c r="AP327" s="6" t="s">
        <v>443</v>
      </c>
      <c r="AQ327" s="6" t="s">
        <v>443</v>
      </c>
      <c r="AR327" s="6" t="s">
        <v>1370</v>
      </c>
      <c r="AS327" t="s">
        <v>1328</v>
      </c>
    </row>
    <row r="328" spans="1:46" x14ac:dyDescent="0.35">
      <c r="A328" t="s">
        <v>365</v>
      </c>
      <c r="B328" t="s">
        <v>367</v>
      </c>
      <c r="C328" t="s">
        <v>1035</v>
      </c>
      <c r="D328" s="2" t="s">
        <v>593</v>
      </c>
      <c r="E328" s="2" t="s">
        <v>366</v>
      </c>
      <c r="F328" s="2" t="s">
        <v>716</v>
      </c>
      <c r="G328" s="3">
        <v>2423</v>
      </c>
      <c r="H328" s="3">
        <v>309</v>
      </c>
      <c r="I328" s="3">
        <v>3</v>
      </c>
      <c r="J328" s="3">
        <v>2</v>
      </c>
      <c r="K328" s="3">
        <v>268</v>
      </c>
      <c r="L328" s="3">
        <v>100</v>
      </c>
      <c r="M328" s="3">
        <v>4033</v>
      </c>
      <c r="N328" s="3">
        <v>1044</v>
      </c>
      <c r="O328" s="5">
        <v>92.767302976180105</v>
      </c>
      <c r="P328" s="5">
        <v>6.9560422262515713</v>
      </c>
      <c r="Q328" s="5">
        <v>0.1317662011154567</v>
      </c>
      <c r="R328" s="5">
        <v>0.14488859645288074</v>
      </c>
      <c r="S328" s="5">
        <v>6.8394078681324606</v>
      </c>
      <c r="T328" s="5">
        <v>1.8835942781819797</v>
      </c>
      <c r="U328" s="5">
        <v>59.793774306669555</v>
      </c>
      <c r="V328" s="5">
        <v>31.48322354701601</v>
      </c>
      <c r="W328" s="5">
        <v>91.276997853685572</v>
      </c>
      <c r="X328" s="3">
        <v>1.3721925824079506</v>
      </c>
      <c r="Y328" t="s">
        <v>1337</v>
      </c>
      <c r="Z328" s="4">
        <v>41122</v>
      </c>
      <c r="AA328" t="s">
        <v>1358</v>
      </c>
      <c r="AB328" t="s">
        <v>443</v>
      </c>
      <c r="AC328" t="s">
        <v>1335</v>
      </c>
      <c r="AD328" t="s">
        <v>719</v>
      </c>
      <c r="AE328" t="s">
        <v>1364</v>
      </c>
      <c r="AF328" t="s">
        <v>1378</v>
      </c>
      <c r="AG328" s="6">
        <v>7</v>
      </c>
      <c r="AH328" s="2">
        <v>0.01</v>
      </c>
      <c r="AI328" s="5" t="s">
        <v>443</v>
      </c>
      <c r="AJ328" s="5" t="s">
        <v>443</v>
      </c>
      <c r="AK328" s="5">
        <v>8.1999999999999993</v>
      </c>
      <c r="AL328" s="7">
        <v>9.5</v>
      </c>
      <c r="AM328" s="5" t="s">
        <v>443</v>
      </c>
      <c r="AN328" s="5" t="s">
        <v>443</v>
      </c>
      <c r="AO328" s="2" t="s">
        <v>443</v>
      </c>
      <c r="AP328" s="2" t="s">
        <v>443</v>
      </c>
      <c r="AQ328" s="2" t="s">
        <v>443</v>
      </c>
      <c r="AR328" s="2" t="s">
        <v>1370</v>
      </c>
      <c r="AS328" t="s">
        <v>1310</v>
      </c>
    </row>
    <row r="329" spans="1:46" x14ac:dyDescent="0.35">
      <c r="A329" t="s">
        <v>368</v>
      </c>
      <c r="B329" t="s">
        <v>369</v>
      </c>
      <c r="C329" t="s">
        <v>1035</v>
      </c>
      <c r="D329" s="2" t="s">
        <v>593</v>
      </c>
      <c r="E329" s="2" t="s">
        <v>366</v>
      </c>
      <c r="F329" s="2" t="s">
        <v>716</v>
      </c>
      <c r="G329" s="3">
        <v>3793</v>
      </c>
      <c r="H329" s="3">
        <v>274</v>
      </c>
      <c r="I329" s="3">
        <v>0</v>
      </c>
      <c r="J329" s="3">
        <v>0</v>
      </c>
      <c r="K329" s="3">
        <v>1985</v>
      </c>
      <c r="L329" s="3">
        <v>144</v>
      </c>
      <c r="M329" s="3">
        <v>6544</v>
      </c>
      <c r="N329" s="3">
        <v>440</v>
      </c>
      <c r="O329" s="5">
        <v>95.925592844138336</v>
      </c>
      <c r="P329" s="5">
        <v>4.0744071558616648</v>
      </c>
      <c r="Q329" s="5">
        <v>0</v>
      </c>
      <c r="R329" s="5">
        <v>0</v>
      </c>
      <c r="S329" s="5">
        <v>30.952752569270181</v>
      </c>
      <c r="T329" s="5">
        <v>1.6573144231917438</v>
      </c>
      <c r="U329" s="5">
        <v>59.282442922307588</v>
      </c>
      <c r="V329" s="5">
        <v>8.1074900852305003</v>
      </c>
      <c r="W329" s="5">
        <f t="shared" ref="W329:W346" si="12">SUM(U329:V329)</f>
        <v>67.38993300753809</v>
      </c>
      <c r="X329" s="3">
        <v>-2.524894369567404</v>
      </c>
      <c r="Y329" t="s">
        <v>1338</v>
      </c>
      <c r="Z329" s="4">
        <v>41122</v>
      </c>
      <c r="AA329" t="s">
        <v>1359</v>
      </c>
      <c r="AB329" t="s">
        <v>443</v>
      </c>
      <c r="AC329" t="s">
        <v>1335</v>
      </c>
      <c r="AD329" t="s">
        <v>722</v>
      </c>
      <c r="AE329" t="s">
        <v>1364</v>
      </c>
      <c r="AF329" t="s">
        <v>1378</v>
      </c>
      <c r="AG329" s="6">
        <v>2</v>
      </c>
      <c r="AH329" s="2">
        <v>0.01</v>
      </c>
      <c r="AI329" s="5" t="s">
        <v>443</v>
      </c>
      <c r="AJ329" s="5" t="s">
        <v>443</v>
      </c>
      <c r="AK329" s="5">
        <v>13.2</v>
      </c>
      <c r="AL329" s="7">
        <v>9.4</v>
      </c>
      <c r="AM329" s="5" t="s">
        <v>443</v>
      </c>
      <c r="AN329" s="5" t="s">
        <v>443</v>
      </c>
      <c r="AO329" s="2" t="s">
        <v>443</v>
      </c>
      <c r="AP329" s="2" t="s">
        <v>443</v>
      </c>
      <c r="AQ329" s="2" t="s">
        <v>443</v>
      </c>
      <c r="AR329" s="2" t="s">
        <v>1370</v>
      </c>
      <c r="AS329" t="s">
        <v>1330</v>
      </c>
    </row>
    <row r="330" spans="1:46" x14ac:dyDescent="0.35">
      <c r="A330" t="s">
        <v>370</v>
      </c>
      <c r="B330" t="s">
        <v>371</v>
      </c>
      <c r="C330" t="s">
        <v>1035</v>
      </c>
      <c r="D330" s="2" t="s">
        <v>593</v>
      </c>
      <c r="E330" s="2" t="s">
        <v>366</v>
      </c>
      <c r="F330" s="2" t="s">
        <v>716</v>
      </c>
      <c r="G330" s="20">
        <v>12835</v>
      </c>
      <c r="H330" s="20">
        <v>228</v>
      </c>
      <c r="I330" s="20">
        <v>4</v>
      </c>
      <c r="J330" s="20">
        <v>12</v>
      </c>
      <c r="K330" s="20">
        <v>5244</v>
      </c>
      <c r="L330" s="20">
        <v>100</v>
      </c>
      <c r="M330" s="20">
        <v>6093</v>
      </c>
      <c r="N330" s="20">
        <v>9589</v>
      </c>
      <c r="O330" s="5">
        <v>98.758464672990627</v>
      </c>
      <c r="P330" s="5">
        <v>1.0315149282018543</v>
      </c>
      <c r="Q330" s="5">
        <v>3.5308535291428113E-2</v>
      </c>
      <c r="R330" s="5">
        <v>0.17471186351610354</v>
      </c>
      <c r="S330" s="5">
        <v>25.975079559527614</v>
      </c>
      <c r="T330" s="5">
        <v>0.36559298702408605</v>
      </c>
      <c r="U330" s="5">
        <v>17.533532300739175</v>
      </c>
      <c r="V330" s="5">
        <v>56.125795152709124</v>
      </c>
      <c r="W330" s="5">
        <f t="shared" si="12"/>
        <v>73.659327453448299</v>
      </c>
      <c r="X330" s="3">
        <v>-0.36921611140591304</v>
      </c>
      <c r="Y330" t="s">
        <v>1339</v>
      </c>
      <c r="Z330" s="4">
        <v>41122</v>
      </c>
      <c r="AA330" t="s">
        <v>1360</v>
      </c>
      <c r="AB330" t="s">
        <v>443</v>
      </c>
      <c r="AC330" t="s">
        <v>1335</v>
      </c>
      <c r="AD330" t="s">
        <v>723</v>
      </c>
      <c r="AE330" t="s">
        <v>1364</v>
      </c>
      <c r="AF330" t="s">
        <v>1378</v>
      </c>
      <c r="AG330" s="6">
        <v>5</v>
      </c>
      <c r="AH330" s="2">
        <v>0.01</v>
      </c>
      <c r="AI330" s="5">
        <v>68.599999999999994</v>
      </c>
      <c r="AJ330" s="2" t="s">
        <v>443</v>
      </c>
      <c r="AK330" s="5">
        <v>38.1</v>
      </c>
      <c r="AL330" s="7">
        <v>9.8000000000000007</v>
      </c>
      <c r="AM330" s="5" t="s">
        <v>443</v>
      </c>
      <c r="AN330" s="5" t="s">
        <v>443</v>
      </c>
      <c r="AO330" s="2" t="s">
        <v>443</v>
      </c>
      <c r="AP330" s="2" t="s">
        <v>443</v>
      </c>
      <c r="AQ330" s="2" t="s">
        <v>443</v>
      </c>
      <c r="AR330" s="2" t="s">
        <v>1370</v>
      </c>
      <c r="AS330" t="s">
        <v>1311</v>
      </c>
    </row>
    <row r="331" spans="1:46" x14ac:dyDescent="0.35">
      <c r="A331" t="s">
        <v>372</v>
      </c>
      <c r="B331" t="s">
        <v>373</v>
      </c>
      <c r="C331" t="s">
        <v>1035</v>
      </c>
      <c r="D331" s="2" t="s">
        <v>593</v>
      </c>
      <c r="E331" s="2" t="s">
        <v>366</v>
      </c>
      <c r="F331" s="2" t="s">
        <v>716</v>
      </c>
      <c r="G331" s="3">
        <v>25860</v>
      </c>
      <c r="H331" s="3">
        <v>414</v>
      </c>
      <c r="I331" s="3">
        <v>4.2</v>
      </c>
      <c r="J331" s="3">
        <v>0.4</v>
      </c>
      <c r="K331" s="3">
        <v>5240</v>
      </c>
      <c r="L331" s="3">
        <v>148</v>
      </c>
      <c r="M331" s="3">
        <v>34950</v>
      </c>
      <c r="N331" s="3">
        <v>12700</v>
      </c>
      <c r="O331" s="5">
        <v>99</v>
      </c>
      <c r="P331" s="5">
        <v>0.9</v>
      </c>
      <c r="Q331" s="5">
        <v>0</v>
      </c>
      <c r="R331" s="5">
        <v>0</v>
      </c>
      <c r="S331" s="5">
        <v>12.9</v>
      </c>
      <c r="T331" s="5">
        <v>0.3</v>
      </c>
      <c r="U331" s="5">
        <v>49.9</v>
      </c>
      <c r="V331" s="5">
        <v>36.9</v>
      </c>
      <c r="W331" s="5">
        <f t="shared" si="12"/>
        <v>86.8</v>
      </c>
      <c r="X331" s="3">
        <v>-0.49608666797520234</v>
      </c>
      <c r="Y331" t="s">
        <v>1312</v>
      </c>
      <c r="Z331" s="4">
        <v>41122</v>
      </c>
      <c r="AA331" t="s">
        <v>1361</v>
      </c>
      <c r="AB331" t="s">
        <v>443</v>
      </c>
      <c r="AC331" t="s">
        <v>1335</v>
      </c>
      <c r="AD331" t="s">
        <v>724</v>
      </c>
      <c r="AE331" t="s">
        <v>1364</v>
      </c>
      <c r="AF331" t="s">
        <v>1378</v>
      </c>
      <c r="AG331" s="6">
        <v>10</v>
      </c>
      <c r="AH331" s="2">
        <v>0.01</v>
      </c>
      <c r="AI331" s="5">
        <v>67</v>
      </c>
      <c r="AJ331" s="5">
        <v>43.1</v>
      </c>
      <c r="AK331" s="7">
        <v>79.3</v>
      </c>
      <c r="AL331" s="7">
        <v>10</v>
      </c>
      <c r="AM331" s="5" t="s">
        <v>443</v>
      </c>
      <c r="AN331" s="5" t="s">
        <v>443</v>
      </c>
      <c r="AO331" s="2" t="s">
        <v>443</v>
      </c>
      <c r="AP331" s="2" t="s">
        <v>443</v>
      </c>
      <c r="AQ331" s="2">
        <v>45</v>
      </c>
      <c r="AR331" s="2" t="s">
        <v>1370</v>
      </c>
      <c r="AS331" t="s">
        <v>1312</v>
      </c>
      <c r="AT331" t="s">
        <v>726</v>
      </c>
    </row>
    <row r="332" spans="1:46" x14ac:dyDescent="0.35">
      <c r="A332" t="s">
        <v>374</v>
      </c>
      <c r="B332" t="s">
        <v>373</v>
      </c>
      <c r="C332" t="s">
        <v>1035</v>
      </c>
      <c r="D332" s="2" t="s">
        <v>593</v>
      </c>
      <c r="E332" s="2" t="s">
        <v>366</v>
      </c>
      <c r="F332" s="2" t="s">
        <v>716</v>
      </c>
      <c r="G332" s="3">
        <v>25860</v>
      </c>
      <c r="H332" s="3">
        <v>414</v>
      </c>
      <c r="I332" s="3">
        <v>4.2</v>
      </c>
      <c r="J332" s="3">
        <v>0.4</v>
      </c>
      <c r="K332" s="3">
        <v>5240</v>
      </c>
      <c r="L332" s="3">
        <v>148</v>
      </c>
      <c r="M332" s="3">
        <v>34950</v>
      </c>
      <c r="N332" s="3">
        <v>12700</v>
      </c>
      <c r="O332" s="5">
        <v>99</v>
      </c>
      <c r="P332" s="5">
        <v>0.9</v>
      </c>
      <c r="Q332" s="5">
        <v>0</v>
      </c>
      <c r="R332" s="5">
        <v>0</v>
      </c>
      <c r="S332" s="5">
        <v>12.9</v>
      </c>
      <c r="T332" s="5">
        <v>0.3</v>
      </c>
      <c r="U332" s="5">
        <v>49.9</v>
      </c>
      <c r="V332" s="5">
        <v>36.9</v>
      </c>
      <c r="W332" s="5">
        <f t="shared" si="12"/>
        <v>86.8</v>
      </c>
      <c r="X332" s="3">
        <v>-0.49608666797520234</v>
      </c>
      <c r="Y332" t="s">
        <v>1312</v>
      </c>
      <c r="Z332" s="4">
        <v>41122</v>
      </c>
      <c r="AA332" t="s">
        <v>1361</v>
      </c>
      <c r="AB332" t="s">
        <v>443</v>
      </c>
      <c r="AC332" t="s">
        <v>1335</v>
      </c>
      <c r="AD332" t="s">
        <v>725</v>
      </c>
      <c r="AE332" t="s">
        <v>1364</v>
      </c>
      <c r="AF332" t="s">
        <v>1378</v>
      </c>
      <c r="AG332" s="6">
        <v>10</v>
      </c>
      <c r="AH332" s="2">
        <v>0.01</v>
      </c>
      <c r="AI332" s="5">
        <v>67</v>
      </c>
      <c r="AJ332" s="5">
        <v>43.1</v>
      </c>
      <c r="AK332" s="7">
        <v>79.3</v>
      </c>
      <c r="AL332" s="7">
        <v>10</v>
      </c>
      <c r="AM332" s="5" t="s">
        <v>443</v>
      </c>
      <c r="AN332" s="5" t="s">
        <v>443</v>
      </c>
      <c r="AO332" s="2" t="s">
        <v>443</v>
      </c>
      <c r="AP332" s="2" t="s">
        <v>443</v>
      </c>
      <c r="AQ332" s="2">
        <v>45</v>
      </c>
      <c r="AR332" s="2" t="s">
        <v>1370</v>
      </c>
      <c r="AS332" t="s">
        <v>1312</v>
      </c>
      <c r="AT332" t="s">
        <v>726</v>
      </c>
    </row>
    <row r="333" spans="1:46" x14ac:dyDescent="0.35">
      <c r="A333" t="s">
        <v>375</v>
      </c>
      <c r="B333" t="s">
        <v>377</v>
      </c>
      <c r="C333" t="s">
        <v>1035</v>
      </c>
      <c r="D333" s="2" t="s">
        <v>594</v>
      </c>
      <c r="E333" s="2" t="s">
        <v>376</v>
      </c>
      <c r="F333" s="2" t="s">
        <v>716</v>
      </c>
      <c r="G333" s="3">
        <v>8030</v>
      </c>
      <c r="H333" s="3">
        <v>68.900000000000006</v>
      </c>
      <c r="I333" s="3">
        <v>13</v>
      </c>
      <c r="J333" s="3">
        <v>25.7</v>
      </c>
      <c r="K333" s="3">
        <v>4086</v>
      </c>
      <c r="L333" s="3">
        <v>145</v>
      </c>
      <c r="M333" s="3">
        <v>7961</v>
      </c>
      <c r="N333" s="3">
        <v>6210</v>
      </c>
      <c r="O333" s="5">
        <v>98.7</v>
      </c>
      <c r="P333" s="5">
        <v>0.5</v>
      </c>
      <c r="Q333" s="5">
        <v>0.2</v>
      </c>
      <c r="R333" s="5">
        <v>0.6</v>
      </c>
      <c r="S333" s="5">
        <v>25.3</v>
      </c>
      <c r="T333" s="5">
        <v>0.7</v>
      </c>
      <c r="U333" s="5">
        <v>28.6</v>
      </c>
      <c r="V333" s="5">
        <v>45.4</v>
      </c>
      <c r="W333" s="5">
        <f t="shared" si="12"/>
        <v>74</v>
      </c>
      <c r="X333" s="3">
        <v>-12.591743833562733</v>
      </c>
      <c r="Y333" t="s">
        <v>1340</v>
      </c>
      <c r="Z333" s="4">
        <v>41522</v>
      </c>
      <c r="AA333" t="s">
        <v>378</v>
      </c>
      <c r="AB333" t="s">
        <v>597</v>
      </c>
      <c r="AC333" t="s">
        <v>1315</v>
      </c>
      <c r="AD333" t="s">
        <v>851</v>
      </c>
      <c r="AE333" t="s">
        <v>1364</v>
      </c>
      <c r="AF333" t="s">
        <v>1376</v>
      </c>
      <c r="AG333" s="6">
        <v>6.2</v>
      </c>
      <c r="AH333" s="6">
        <v>2.5</v>
      </c>
      <c r="AI333" s="5">
        <v>23.4</v>
      </c>
      <c r="AJ333" s="5">
        <v>22.2</v>
      </c>
      <c r="AK333" s="5">
        <v>26.5</v>
      </c>
      <c r="AL333" s="5">
        <v>10.1</v>
      </c>
      <c r="AM333" s="5">
        <v>16.3</v>
      </c>
      <c r="AN333" s="5">
        <v>6.1</v>
      </c>
      <c r="AO333" s="5" t="s">
        <v>443</v>
      </c>
      <c r="AP333" s="5" t="s">
        <v>443</v>
      </c>
      <c r="AQ333" s="5" t="s">
        <v>443</v>
      </c>
      <c r="AR333" s="2" t="s">
        <v>1370</v>
      </c>
      <c r="AS333" t="s">
        <v>1315</v>
      </c>
    </row>
    <row r="334" spans="1:46" x14ac:dyDescent="0.35">
      <c r="A334" t="s">
        <v>379</v>
      </c>
      <c r="B334" t="s">
        <v>377</v>
      </c>
      <c r="C334" t="s">
        <v>1035</v>
      </c>
      <c r="D334" s="2" t="s">
        <v>594</v>
      </c>
      <c r="E334" s="2" t="s">
        <v>376</v>
      </c>
      <c r="F334" s="2" t="s">
        <v>716</v>
      </c>
      <c r="G334" s="3">
        <v>8030</v>
      </c>
      <c r="H334" s="3">
        <v>68.900000000000006</v>
      </c>
      <c r="I334" s="3">
        <v>13</v>
      </c>
      <c r="J334" s="3">
        <v>25.7</v>
      </c>
      <c r="K334" s="3">
        <v>4086</v>
      </c>
      <c r="L334" s="3">
        <v>145</v>
      </c>
      <c r="M334" s="3">
        <v>7961</v>
      </c>
      <c r="N334" s="3">
        <v>6210</v>
      </c>
      <c r="O334" s="5">
        <v>98.7</v>
      </c>
      <c r="P334" s="5">
        <v>0.5</v>
      </c>
      <c r="Q334" s="5">
        <v>0.2</v>
      </c>
      <c r="R334" s="5">
        <v>0.6</v>
      </c>
      <c r="S334" s="5">
        <v>25.3</v>
      </c>
      <c r="T334" s="5">
        <v>0.7</v>
      </c>
      <c r="U334" s="5">
        <v>28.6</v>
      </c>
      <c r="V334" s="5">
        <v>45.4</v>
      </c>
      <c r="W334" s="5">
        <f t="shared" si="12"/>
        <v>74</v>
      </c>
      <c r="X334" s="3">
        <v>-12.591743833562733</v>
      </c>
      <c r="Y334" t="s">
        <v>1340</v>
      </c>
      <c r="Z334" s="4">
        <v>41522</v>
      </c>
      <c r="AA334" t="s">
        <v>378</v>
      </c>
      <c r="AB334" t="s">
        <v>597</v>
      </c>
      <c r="AC334" t="s">
        <v>1315</v>
      </c>
      <c r="AD334" t="s">
        <v>852</v>
      </c>
      <c r="AE334" t="s">
        <v>1364</v>
      </c>
      <c r="AF334" t="s">
        <v>1376</v>
      </c>
      <c r="AG334" s="6">
        <v>6.2</v>
      </c>
      <c r="AH334" s="6">
        <v>2.5</v>
      </c>
      <c r="AI334" s="5">
        <v>34.299999999999997</v>
      </c>
      <c r="AJ334" s="5">
        <v>32.6</v>
      </c>
      <c r="AK334" s="5">
        <v>26.5</v>
      </c>
      <c r="AL334" s="5">
        <v>10</v>
      </c>
      <c r="AM334" s="5">
        <v>17.100000000000001</v>
      </c>
      <c r="AN334" s="5">
        <v>4.9000000000000004</v>
      </c>
      <c r="AO334" s="5" t="s">
        <v>443</v>
      </c>
      <c r="AP334" s="5" t="s">
        <v>443</v>
      </c>
      <c r="AQ334" s="5" t="s">
        <v>443</v>
      </c>
      <c r="AR334" s="2" t="s">
        <v>1370</v>
      </c>
      <c r="AS334" t="s">
        <v>1315</v>
      </c>
    </row>
    <row r="335" spans="1:46" x14ac:dyDescent="0.35">
      <c r="A335" t="s">
        <v>380</v>
      </c>
      <c r="B335" t="s">
        <v>377</v>
      </c>
      <c r="C335" t="s">
        <v>1035</v>
      </c>
      <c r="D335" s="2" t="s">
        <v>594</v>
      </c>
      <c r="E335" s="2" t="s">
        <v>376</v>
      </c>
      <c r="F335" s="2" t="s">
        <v>716</v>
      </c>
      <c r="G335" s="3">
        <v>8030</v>
      </c>
      <c r="H335" s="3">
        <v>68.900000000000006</v>
      </c>
      <c r="I335" s="3">
        <v>13</v>
      </c>
      <c r="J335" s="3">
        <v>25.7</v>
      </c>
      <c r="K335" s="3">
        <v>4086</v>
      </c>
      <c r="L335" s="3">
        <v>145</v>
      </c>
      <c r="M335" s="3">
        <v>7961</v>
      </c>
      <c r="N335" s="3">
        <v>6210</v>
      </c>
      <c r="O335" s="5">
        <v>98.7</v>
      </c>
      <c r="P335" s="5">
        <v>0.5</v>
      </c>
      <c r="Q335" s="5">
        <v>0.2</v>
      </c>
      <c r="R335" s="5">
        <v>0.6</v>
      </c>
      <c r="S335" s="5">
        <v>25.3</v>
      </c>
      <c r="T335" s="5">
        <v>0.7</v>
      </c>
      <c r="U335" s="5">
        <v>28.6</v>
      </c>
      <c r="V335" s="5">
        <v>45.4</v>
      </c>
      <c r="W335" s="5">
        <f t="shared" si="12"/>
        <v>74</v>
      </c>
      <c r="X335" s="3">
        <v>-12.591743833562733</v>
      </c>
      <c r="Y335" t="s">
        <v>1340</v>
      </c>
      <c r="Z335" s="4">
        <v>41522</v>
      </c>
      <c r="AA335" t="s">
        <v>378</v>
      </c>
      <c r="AB335" t="s">
        <v>597</v>
      </c>
      <c r="AC335" t="s">
        <v>1315</v>
      </c>
      <c r="AD335" t="s">
        <v>853</v>
      </c>
      <c r="AE335" t="s">
        <v>1364</v>
      </c>
      <c r="AF335" t="s">
        <v>1376</v>
      </c>
      <c r="AG335" s="6">
        <v>6.2</v>
      </c>
      <c r="AH335" s="6">
        <v>3</v>
      </c>
      <c r="AI335" s="5">
        <v>35.799999999999997</v>
      </c>
      <c r="AJ335" s="5">
        <v>34</v>
      </c>
      <c r="AK335" s="5">
        <v>26.5</v>
      </c>
      <c r="AL335" s="5">
        <v>10</v>
      </c>
      <c r="AM335" s="5">
        <v>16.7</v>
      </c>
      <c r="AN335" s="5">
        <v>4.5</v>
      </c>
      <c r="AO335" s="5" t="s">
        <v>443</v>
      </c>
      <c r="AP335" s="5" t="s">
        <v>443</v>
      </c>
      <c r="AQ335" s="5" t="s">
        <v>443</v>
      </c>
      <c r="AR335" s="2" t="s">
        <v>1370</v>
      </c>
      <c r="AS335" t="s">
        <v>1315</v>
      </c>
    </row>
    <row r="336" spans="1:46" x14ac:dyDescent="0.35">
      <c r="A336" t="s">
        <v>381</v>
      </c>
      <c r="B336" t="s">
        <v>377</v>
      </c>
      <c r="C336" t="s">
        <v>1035</v>
      </c>
      <c r="D336" s="2" t="s">
        <v>594</v>
      </c>
      <c r="E336" s="2" t="s">
        <v>376</v>
      </c>
      <c r="F336" s="2" t="s">
        <v>716</v>
      </c>
      <c r="G336" s="3">
        <v>8030</v>
      </c>
      <c r="H336" s="3">
        <v>68.900000000000006</v>
      </c>
      <c r="I336" s="3">
        <v>13</v>
      </c>
      <c r="J336" s="3">
        <v>25.7</v>
      </c>
      <c r="K336" s="3">
        <v>4086</v>
      </c>
      <c r="L336" s="3">
        <v>145</v>
      </c>
      <c r="M336" s="3">
        <v>7961</v>
      </c>
      <c r="N336" s="3">
        <v>6210</v>
      </c>
      <c r="O336" s="5">
        <v>98.7</v>
      </c>
      <c r="P336" s="5">
        <v>0.5</v>
      </c>
      <c r="Q336" s="5">
        <v>0.2</v>
      </c>
      <c r="R336" s="5">
        <v>0.6</v>
      </c>
      <c r="S336" s="5">
        <v>25.3</v>
      </c>
      <c r="T336" s="5">
        <v>0.7</v>
      </c>
      <c r="U336" s="5">
        <v>28.6</v>
      </c>
      <c r="V336" s="5">
        <v>45.4</v>
      </c>
      <c r="W336" s="5">
        <f t="shared" si="12"/>
        <v>74</v>
      </c>
      <c r="X336" s="3">
        <v>-12.591743833562733</v>
      </c>
      <c r="Y336" t="s">
        <v>1340</v>
      </c>
      <c r="Z336" s="4">
        <v>41523</v>
      </c>
      <c r="AA336" t="s">
        <v>378</v>
      </c>
      <c r="AB336" t="s">
        <v>597</v>
      </c>
      <c r="AC336" t="s">
        <v>1315</v>
      </c>
      <c r="AD336" t="s">
        <v>854</v>
      </c>
      <c r="AE336" t="s">
        <v>1364</v>
      </c>
      <c r="AF336" t="s">
        <v>1376</v>
      </c>
      <c r="AG336" s="6">
        <v>6.2</v>
      </c>
      <c r="AH336" s="6">
        <v>3</v>
      </c>
      <c r="AI336" s="5">
        <v>23.4</v>
      </c>
      <c r="AJ336" s="5">
        <v>22.2</v>
      </c>
      <c r="AK336" s="5">
        <v>26.5</v>
      </c>
      <c r="AL336" s="5">
        <v>10.1</v>
      </c>
      <c r="AM336" s="5">
        <v>16.2</v>
      </c>
      <c r="AN336" s="5">
        <v>5.9</v>
      </c>
      <c r="AO336" s="5" t="s">
        <v>443</v>
      </c>
      <c r="AP336" s="5" t="s">
        <v>443</v>
      </c>
      <c r="AQ336" s="5" t="s">
        <v>443</v>
      </c>
      <c r="AR336" s="2" t="s">
        <v>1370</v>
      </c>
      <c r="AS336" t="s">
        <v>1315</v>
      </c>
    </row>
    <row r="337" spans="1:46" x14ac:dyDescent="0.35">
      <c r="A337" t="s">
        <v>382</v>
      </c>
      <c r="B337" t="s">
        <v>377</v>
      </c>
      <c r="C337" t="s">
        <v>1035</v>
      </c>
      <c r="D337" s="2" t="s">
        <v>594</v>
      </c>
      <c r="E337" s="2" t="s">
        <v>376</v>
      </c>
      <c r="F337" s="2" t="s">
        <v>716</v>
      </c>
      <c r="G337" s="3">
        <v>8030</v>
      </c>
      <c r="H337" s="3">
        <v>68.900000000000006</v>
      </c>
      <c r="I337" s="3">
        <v>13</v>
      </c>
      <c r="J337" s="3">
        <v>25.7</v>
      </c>
      <c r="K337" s="3">
        <v>4086</v>
      </c>
      <c r="L337" s="3">
        <v>145</v>
      </c>
      <c r="M337" s="3">
        <v>7961</v>
      </c>
      <c r="N337" s="3">
        <v>6210</v>
      </c>
      <c r="O337" s="5">
        <v>98.7</v>
      </c>
      <c r="P337" s="5">
        <v>0.5</v>
      </c>
      <c r="Q337" s="5">
        <v>0.2</v>
      </c>
      <c r="R337" s="5">
        <v>0.6</v>
      </c>
      <c r="S337" s="5">
        <v>25.3</v>
      </c>
      <c r="T337" s="5">
        <v>0.7</v>
      </c>
      <c r="U337" s="5">
        <v>28.6</v>
      </c>
      <c r="V337" s="5">
        <v>45.4</v>
      </c>
      <c r="W337" s="5">
        <f t="shared" si="12"/>
        <v>74</v>
      </c>
      <c r="X337" s="3">
        <v>-12.591743833562733</v>
      </c>
      <c r="Y337" t="s">
        <v>1340</v>
      </c>
      <c r="Z337" s="4">
        <v>41523</v>
      </c>
      <c r="AA337" t="s">
        <v>378</v>
      </c>
      <c r="AB337" t="s">
        <v>597</v>
      </c>
      <c r="AC337" t="s">
        <v>1315</v>
      </c>
      <c r="AD337" t="s">
        <v>855</v>
      </c>
      <c r="AE337" t="s">
        <v>1364</v>
      </c>
      <c r="AF337" t="s">
        <v>1376</v>
      </c>
      <c r="AG337" s="6">
        <v>6.2</v>
      </c>
      <c r="AH337" s="6">
        <v>3.15</v>
      </c>
      <c r="AI337" s="5">
        <v>35.4</v>
      </c>
      <c r="AJ337" s="5">
        <v>33.6</v>
      </c>
      <c r="AK337" s="5">
        <v>26.5</v>
      </c>
      <c r="AL337" s="5">
        <v>10</v>
      </c>
      <c r="AM337" s="5">
        <v>15.1</v>
      </c>
      <c r="AN337" s="5">
        <v>4.9000000000000004</v>
      </c>
      <c r="AO337" s="5" t="s">
        <v>443</v>
      </c>
      <c r="AP337" s="5" t="s">
        <v>443</v>
      </c>
      <c r="AQ337" s="5" t="s">
        <v>443</v>
      </c>
      <c r="AR337" s="2" t="s">
        <v>1370</v>
      </c>
      <c r="AS337" t="s">
        <v>1315</v>
      </c>
    </row>
    <row r="338" spans="1:46" x14ac:dyDescent="0.35">
      <c r="A338" t="s">
        <v>383</v>
      </c>
      <c r="B338" t="s">
        <v>377</v>
      </c>
      <c r="C338" t="s">
        <v>1035</v>
      </c>
      <c r="D338" s="2" t="s">
        <v>594</v>
      </c>
      <c r="E338" s="2" t="s">
        <v>376</v>
      </c>
      <c r="F338" s="2" t="s">
        <v>716</v>
      </c>
      <c r="G338" s="3">
        <v>8030</v>
      </c>
      <c r="H338" s="3">
        <v>68.900000000000006</v>
      </c>
      <c r="I338" s="3">
        <v>13</v>
      </c>
      <c r="J338" s="3">
        <v>25.7</v>
      </c>
      <c r="K338" s="3">
        <v>4086</v>
      </c>
      <c r="L338" s="3">
        <v>145</v>
      </c>
      <c r="M338" s="3">
        <v>7961</v>
      </c>
      <c r="N338" s="3">
        <v>6210</v>
      </c>
      <c r="O338" s="5">
        <v>98.7</v>
      </c>
      <c r="P338" s="5">
        <v>0.5</v>
      </c>
      <c r="Q338" s="5">
        <v>0.2</v>
      </c>
      <c r="R338" s="5">
        <v>0.6</v>
      </c>
      <c r="S338" s="5">
        <v>25.3</v>
      </c>
      <c r="T338" s="5">
        <v>0.7</v>
      </c>
      <c r="U338" s="5">
        <v>28.6</v>
      </c>
      <c r="V338" s="5">
        <v>45.4</v>
      </c>
      <c r="W338" s="5">
        <f t="shared" si="12"/>
        <v>74</v>
      </c>
      <c r="X338" s="3">
        <v>-12.591743833562733</v>
      </c>
      <c r="Y338" t="s">
        <v>1340</v>
      </c>
      <c r="Z338" s="4">
        <v>41523</v>
      </c>
      <c r="AA338" t="s">
        <v>378</v>
      </c>
      <c r="AB338" t="s">
        <v>597</v>
      </c>
      <c r="AC338" t="s">
        <v>1315</v>
      </c>
      <c r="AD338" t="s">
        <v>856</v>
      </c>
      <c r="AE338" t="s">
        <v>1364</v>
      </c>
      <c r="AF338" t="s">
        <v>1376</v>
      </c>
      <c r="AG338" s="6">
        <v>6.2</v>
      </c>
      <c r="AH338" s="6">
        <v>3.15</v>
      </c>
      <c r="AI338" s="5">
        <v>36.200000000000003</v>
      </c>
      <c r="AJ338" s="5">
        <v>34.4</v>
      </c>
      <c r="AK338" s="5">
        <v>26.5</v>
      </c>
      <c r="AL338" s="5">
        <v>10</v>
      </c>
      <c r="AM338" s="5">
        <v>15</v>
      </c>
      <c r="AN338" s="5">
        <v>4.4000000000000004</v>
      </c>
      <c r="AO338" s="5" t="s">
        <v>443</v>
      </c>
      <c r="AP338" s="5" t="s">
        <v>443</v>
      </c>
      <c r="AQ338" s="5" t="s">
        <v>443</v>
      </c>
      <c r="AR338" s="2" t="s">
        <v>1370</v>
      </c>
      <c r="AS338" t="s">
        <v>1315</v>
      </c>
    </row>
    <row r="339" spans="1:46" x14ac:dyDescent="0.35">
      <c r="A339" t="s">
        <v>384</v>
      </c>
      <c r="B339" t="s">
        <v>386</v>
      </c>
      <c r="C339" t="s">
        <v>1035</v>
      </c>
      <c r="D339" s="2" t="s">
        <v>595</v>
      </c>
      <c r="E339" s="2" t="s">
        <v>385</v>
      </c>
      <c r="F339" s="2" t="s">
        <v>716</v>
      </c>
      <c r="G339" s="3">
        <v>7296</v>
      </c>
      <c r="H339" s="3">
        <v>96.6</v>
      </c>
      <c r="I339" s="3">
        <v>3.4</v>
      </c>
      <c r="J339" s="3">
        <v>33.700000000000003</v>
      </c>
      <c r="K339" s="3">
        <v>128</v>
      </c>
      <c r="L339" s="3">
        <v>21</v>
      </c>
      <c r="M339" s="3">
        <v>11896</v>
      </c>
      <c r="N339" s="3">
        <v>3421</v>
      </c>
      <c r="O339" s="5">
        <v>98.3</v>
      </c>
      <c r="P339" s="5">
        <v>0.8</v>
      </c>
      <c r="Q339" s="5">
        <v>0.1</v>
      </c>
      <c r="R339" s="5">
        <v>0.9</v>
      </c>
      <c r="S339" s="5">
        <v>1.2</v>
      </c>
      <c r="T339" s="5">
        <v>0.1</v>
      </c>
      <c r="U339" s="5">
        <v>62.3</v>
      </c>
      <c r="V339" s="5">
        <v>36.4</v>
      </c>
      <c r="W339" s="5">
        <f t="shared" si="12"/>
        <v>98.699999999999989</v>
      </c>
      <c r="X339" s="3">
        <v>2</v>
      </c>
      <c r="Y339" t="s">
        <v>1327</v>
      </c>
      <c r="Z339" s="4">
        <v>41808</v>
      </c>
      <c r="AA339" t="s">
        <v>1362</v>
      </c>
      <c r="AB339" t="s">
        <v>387</v>
      </c>
      <c r="AC339" t="s">
        <v>1327</v>
      </c>
      <c r="AD339" t="s">
        <v>878</v>
      </c>
      <c r="AE339" t="s">
        <v>1364</v>
      </c>
      <c r="AF339" t="s">
        <v>1376</v>
      </c>
      <c r="AG339" s="6" t="s">
        <v>443</v>
      </c>
      <c r="AH339" s="2">
        <v>0.05</v>
      </c>
      <c r="AI339" s="5">
        <v>22.2</v>
      </c>
      <c r="AJ339" s="6" t="s">
        <v>443</v>
      </c>
      <c r="AK339" s="5">
        <v>22.9</v>
      </c>
      <c r="AL339" s="5">
        <v>10.1</v>
      </c>
      <c r="AM339" s="6" t="s">
        <v>443</v>
      </c>
      <c r="AN339" s="6" t="s">
        <v>443</v>
      </c>
      <c r="AO339" s="6" t="s">
        <v>443</v>
      </c>
      <c r="AP339" s="6" t="s">
        <v>443</v>
      </c>
      <c r="AQ339" s="6" t="s">
        <v>443</v>
      </c>
      <c r="AR339" s="6" t="s">
        <v>1370</v>
      </c>
      <c r="AS339" t="s">
        <v>1327</v>
      </c>
      <c r="AT339" t="s">
        <v>950</v>
      </c>
    </row>
    <row r="340" spans="1:46" x14ac:dyDescent="0.35">
      <c r="A340" t="s">
        <v>390</v>
      </c>
      <c r="B340" t="s">
        <v>391</v>
      </c>
      <c r="C340" t="s">
        <v>1035</v>
      </c>
      <c r="D340" s="2" t="s">
        <v>595</v>
      </c>
      <c r="E340" s="2" t="s">
        <v>385</v>
      </c>
      <c r="F340" s="2" t="s">
        <v>716</v>
      </c>
      <c r="G340" s="3">
        <v>11548</v>
      </c>
      <c r="H340" s="3">
        <v>359.8</v>
      </c>
      <c r="I340" s="3">
        <v>3.5</v>
      </c>
      <c r="J340" s="3">
        <v>46.3</v>
      </c>
      <c r="K340" s="3">
        <v>1235</v>
      </c>
      <c r="L340" s="3">
        <v>1326</v>
      </c>
      <c r="M340" s="3">
        <v>16433</v>
      </c>
      <c r="N340" s="3">
        <v>5167</v>
      </c>
      <c r="O340" s="5">
        <v>97.4</v>
      </c>
      <c r="P340" s="5">
        <v>1.8</v>
      </c>
      <c r="Q340" s="5">
        <v>0</v>
      </c>
      <c r="R340" s="5">
        <v>0.7</v>
      </c>
      <c r="S340" s="5">
        <v>6.9</v>
      </c>
      <c r="T340" s="5">
        <v>5.5</v>
      </c>
      <c r="U340" s="5">
        <v>53.4</v>
      </c>
      <c r="V340" s="5">
        <v>34.200000000000003</v>
      </c>
      <c r="W340" s="5">
        <f t="shared" si="12"/>
        <v>87.6</v>
      </c>
      <c r="X340" s="3">
        <v>1.1288852030141123</v>
      </c>
      <c r="Y340" t="s">
        <v>1327</v>
      </c>
      <c r="Z340" s="4">
        <v>41808</v>
      </c>
      <c r="AA340" t="s">
        <v>1362</v>
      </c>
      <c r="AB340" t="s">
        <v>392</v>
      </c>
      <c r="AC340" t="s">
        <v>1327</v>
      </c>
      <c r="AD340" t="s">
        <v>881</v>
      </c>
      <c r="AE340" t="s">
        <v>1364</v>
      </c>
      <c r="AF340" t="s">
        <v>1376</v>
      </c>
      <c r="AG340" s="6" t="s">
        <v>443</v>
      </c>
      <c r="AH340" s="2">
        <v>0.05</v>
      </c>
      <c r="AI340" s="5">
        <v>33.1</v>
      </c>
      <c r="AJ340" s="6" t="s">
        <v>443</v>
      </c>
      <c r="AK340" s="5">
        <v>36.1</v>
      </c>
      <c r="AL340" s="5">
        <v>10.1</v>
      </c>
      <c r="AM340" s="6" t="s">
        <v>443</v>
      </c>
      <c r="AN340" s="6" t="s">
        <v>443</v>
      </c>
      <c r="AO340" s="6" t="s">
        <v>443</v>
      </c>
      <c r="AP340" s="6" t="s">
        <v>443</v>
      </c>
      <c r="AQ340" s="6" t="s">
        <v>443</v>
      </c>
      <c r="AR340" s="6" t="s">
        <v>1370</v>
      </c>
      <c r="AS340" t="s">
        <v>1327</v>
      </c>
      <c r="AT340" t="s">
        <v>949</v>
      </c>
    </row>
    <row r="341" spans="1:46" x14ac:dyDescent="0.35">
      <c r="A341" t="s">
        <v>396</v>
      </c>
      <c r="B341" t="s">
        <v>397</v>
      </c>
      <c r="C341" t="s">
        <v>1035</v>
      </c>
      <c r="D341" s="2" t="s">
        <v>595</v>
      </c>
      <c r="E341" s="2" t="s">
        <v>385</v>
      </c>
      <c r="F341" s="2" t="s">
        <v>716</v>
      </c>
      <c r="G341" s="3">
        <v>17540</v>
      </c>
      <c r="H341" s="3">
        <v>277.2</v>
      </c>
      <c r="I341" s="3">
        <v>5</v>
      </c>
      <c r="J341" s="3">
        <v>15.1</v>
      </c>
      <c r="K341" s="3">
        <v>817</v>
      </c>
      <c r="L341" s="3">
        <v>2664</v>
      </c>
      <c r="M341" s="3">
        <v>20400</v>
      </c>
      <c r="N341" s="3">
        <v>6571</v>
      </c>
      <c r="O341" s="5">
        <v>98.9</v>
      </c>
      <c r="P341" s="5">
        <v>0.9</v>
      </c>
      <c r="Q341" s="5">
        <v>0</v>
      </c>
      <c r="R341" s="5">
        <v>0.2</v>
      </c>
      <c r="S341" s="5">
        <v>3.6</v>
      </c>
      <c r="T341" s="5">
        <v>8.8000000000000007</v>
      </c>
      <c r="U341" s="5">
        <v>52.9</v>
      </c>
      <c r="V341" s="5">
        <v>34.700000000000003</v>
      </c>
      <c r="W341" s="5">
        <f t="shared" si="12"/>
        <v>87.6</v>
      </c>
      <c r="X341" s="3">
        <v>9.9516873296158792</v>
      </c>
      <c r="Y341" t="s">
        <v>1327</v>
      </c>
      <c r="Z341" s="4">
        <v>41808</v>
      </c>
      <c r="AA341" t="s">
        <v>1362</v>
      </c>
      <c r="AB341" t="s">
        <v>398</v>
      </c>
      <c r="AC341" t="s">
        <v>1327</v>
      </c>
      <c r="AD341" t="s">
        <v>885</v>
      </c>
      <c r="AE341" t="s">
        <v>1364</v>
      </c>
      <c r="AF341" t="s">
        <v>1376</v>
      </c>
      <c r="AG341" s="6" t="s">
        <v>443</v>
      </c>
      <c r="AH341" s="2">
        <v>0.05</v>
      </c>
      <c r="AI341" s="5">
        <v>44.2</v>
      </c>
      <c r="AJ341" s="6" t="s">
        <v>443</v>
      </c>
      <c r="AK341" s="5">
        <v>48.3</v>
      </c>
      <c r="AL341" s="5">
        <v>10.1</v>
      </c>
      <c r="AM341" s="6" t="s">
        <v>443</v>
      </c>
      <c r="AN341" s="6" t="s">
        <v>443</v>
      </c>
      <c r="AO341" s="6" t="s">
        <v>443</v>
      </c>
      <c r="AP341" s="6" t="s">
        <v>443</v>
      </c>
      <c r="AQ341" s="6" t="s">
        <v>443</v>
      </c>
      <c r="AR341" s="6" t="s">
        <v>1370</v>
      </c>
      <c r="AS341" t="s">
        <v>1327</v>
      </c>
      <c r="AT341" t="s">
        <v>949</v>
      </c>
    </row>
    <row r="342" spans="1:46" x14ac:dyDescent="0.35">
      <c r="A342" t="s">
        <v>402</v>
      </c>
      <c r="B342" t="s">
        <v>403</v>
      </c>
      <c r="C342" t="s">
        <v>1035</v>
      </c>
      <c r="D342" s="2" t="s">
        <v>595</v>
      </c>
      <c r="E342" s="2" t="s">
        <v>385</v>
      </c>
      <c r="F342" s="2" t="s">
        <v>716</v>
      </c>
      <c r="G342" s="3">
        <v>7967</v>
      </c>
      <c r="H342" s="3">
        <v>58</v>
      </c>
      <c r="I342" s="3">
        <v>4.5</v>
      </c>
      <c r="J342" s="3">
        <v>6.4</v>
      </c>
      <c r="K342" s="3">
        <v>302</v>
      </c>
      <c r="L342" s="3">
        <v>46</v>
      </c>
      <c r="M342" s="3">
        <v>11883</v>
      </c>
      <c r="N342" s="3">
        <v>3558</v>
      </c>
      <c r="O342" s="5">
        <v>99.4</v>
      </c>
      <c r="P342" s="5">
        <v>0.4</v>
      </c>
      <c r="Q342" s="5">
        <v>0.1</v>
      </c>
      <c r="R342" s="5">
        <v>0.2</v>
      </c>
      <c r="S342" s="5">
        <v>2.6</v>
      </c>
      <c r="T342" s="5">
        <v>0.3</v>
      </c>
      <c r="U342" s="5">
        <v>60.3</v>
      </c>
      <c r="V342" s="5">
        <v>36.700000000000003</v>
      </c>
      <c r="W342" s="5">
        <f t="shared" si="12"/>
        <v>97</v>
      </c>
      <c r="X342" s="3">
        <v>3.8655034852223586</v>
      </c>
      <c r="Y342" t="s">
        <v>1327</v>
      </c>
      <c r="Z342" s="4">
        <v>41808</v>
      </c>
      <c r="AA342" t="s">
        <v>1362</v>
      </c>
      <c r="AB342" t="s">
        <v>404</v>
      </c>
      <c r="AC342" t="s">
        <v>1327</v>
      </c>
      <c r="AD342" t="s">
        <v>889</v>
      </c>
      <c r="AE342" t="s">
        <v>1364</v>
      </c>
      <c r="AF342" t="s">
        <v>1376</v>
      </c>
      <c r="AG342" s="6" t="s">
        <v>443</v>
      </c>
      <c r="AH342" s="2">
        <v>0.05</v>
      </c>
      <c r="AI342" s="5">
        <v>22.9</v>
      </c>
      <c r="AJ342" s="6" t="s">
        <v>443</v>
      </c>
      <c r="AK342" s="5">
        <v>23.8</v>
      </c>
      <c r="AL342" s="5">
        <v>10.1</v>
      </c>
      <c r="AM342" s="6" t="s">
        <v>443</v>
      </c>
      <c r="AN342" s="6" t="s">
        <v>443</v>
      </c>
      <c r="AO342" s="6" t="s">
        <v>443</v>
      </c>
      <c r="AP342" s="6" t="s">
        <v>443</v>
      </c>
      <c r="AQ342" s="6" t="s">
        <v>443</v>
      </c>
      <c r="AR342" s="6" t="s">
        <v>1370</v>
      </c>
      <c r="AS342" t="s">
        <v>1327</v>
      </c>
      <c r="AT342" t="s">
        <v>949</v>
      </c>
    </row>
    <row r="343" spans="1:46" x14ac:dyDescent="0.35">
      <c r="A343" t="s">
        <v>388</v>
      </c>
      <c r="B343" t="s">
        <v>386</v>
      </c>
      <c r="C343" t="s">
        <v>1035</v>
      </c>
      <c r="D343" s="2" t="s">
        <v>595</v>
      </c>
      <c r="E343" s="2" t="s">
        <v>385</v>
      </c>
      <c r="F343" s="2" t="s">
        <v>716</v>
      </c>
      <c r="G343" s="3">
        <v>7296</v>
      </c>
      <c r="H343" s="3">
        <v>96.6</v>
      </c>
      <c r="I343" s="3">
        <v>3.4</v>
      </c>
      <c r="J343" s="3">
        <v>33.700000000000003</v>
      </c>
      <c r="K343" s="3">
        <v>128</v>
      </c>
      <c r="L343" s="3">
        <v>21</v>
      </c>
      <c r="M343" s="3">
        <v>11896</v>
      </c>
      <c r="N343" s="3">
        <v>3421</v>
      </c>
      <c r="O343" s="5">
        <v>98.3</v>
      </c>
      <c r="P343" s="5">
        <v>0.8</v>
      </c>
      <c r="Q343" s="5">
        <v>0.1</v>
      </c>
      <c r="R343" s="5">
        <v>0.9</v>
      </c>
      <c r="S343" s="5">
        <v>1.2</v>
      </c>
      <c r="T343" s="5">
        <v>0.1</v>
      </c>
      <c r="U343" s="5">
        <v>62.3</v>
      </c>
      <c r="V343" s="5">
        <v>36.4</v>
      </c>
      <c r="W343" s="5">
        <f t="shared" si="12"/>
        <v>98.699999999999989</v>
      </c>
      <c r="X343" s="3">
        <v>1.5312178152856051</v>
      </c>
      <c r="Y343" t="s">
        <v>1327</v>
      </c>
      <c r="Z343" s="4">
        <v>42150</v>
      </c>
      <c r="AA343" t="s">
        <v>1362</v>
      </c>
      <c r="AB343" t="s">
        <v>387</v>
      </c>
      <c r="AC343" t="s">
        <v>1327</v>
      </c>
      <c r="AD343" t="s">
        <v>879</v>
      </c>
      <c r="AE343" t="s">
        <v>1364</v>
      </c>
      <c r="AF343" t="s">
        <v>1376</v>
      </c>
      <c r="AG343" s="6" t="s">
        <v>443</v>
      </c>
      <c r="AH343" s="2">
        <v>0.05</v>
      </c>
      <c r="AI343" s="5">
        <v>22.2</v>
      </c>
      <c r="AJ343" s="6" t="s">
        <v>443</v>
      </c>
      <c r="AK343" s="5">
        <v>22.9</v>
      </c>
      <c r="AL343" s="5">
        <v>10.1</v>
      </c>
      <c r="AM343" s="6" t="s">
        <v>443</v>
      </c>
      <c r="AN343" s="6" t="s">
        <v>443</v>
      </c>
      <c r="AO343" s="6" t="s">
        <v>443</v>
      </c>
      <c r="AP343" s="6" t="s">
        <v>443</v>
      </c>
      <c r="AQ343" s="6" t="s">
        <v>443</v>
      </c>
      <c r="AR343" s="6" t="s">
        <v>1370</v>
      </c>
      <c r="AS343" t="s">
        <v>1327</v>
      </c>
      <c r="AT343" t="s">
        <v>951</v>
      </c>
    </row>
    <row r="344" spans="1:46" x14ac:dyDescent="0.35">
      <c r="A344" t="s">
        <v>393</v>
      </c>
      <c r="B344" t="s">
        <v>391</v>
      </c>
      <c r="C344" t="s">
        <v>1035</v>
      </c>
      <c r="D344" s="2" t="s">
        <v>595</v>
      </c>
      <c r="E344" s="2" t="s">
        <v>385</v>
      </c>
      <c r="F344" s="2" t="s">
        <v>716</v>
      </c>
      <c r="G344" s="3">
        <v>11548</v>
      </c>
      <c r="H344" s="3">
        <v>359.8</v>
      </c>
      <c r="I344" s="3">
        <v>3.5</v>
      </c>
      <c r="J344" s="3">
        <v>46.3</v>
      </c>
      <c r="K344" s="3">
        <v>1235</v>
      </c>
      <c r="L344" s="3">
        <v>1326</v>
      </c>
      <c r="M344" s="3">
        <v>16433</v>
      </c>
      <c r="N344" s="3">
        <v>5167</v>
      </c>
      <c r="O344" s="5">
        <v>97.4</v>
      </c>
      <c r="P344" s="5">
        <v>1.8</v>
      </c>
      <c r="Q344" s="5">
        <v>0</v>
      </c>
      <c r="R344" s="5">
        <v>0.7</v>
      </c>
      <c r="S344" s="5">
        <v>6.9</v>
      </c>
      <c r="T344" s="5">
        <v>5.5</v>
      </c>
      <c r="U344" s="5">
        <v>53.4</v>
      </c>
      <c r="V344" s="5">
        <v>34.200000000000003</v>
      </c>
      <c r="W344" s="5">
        <f t="shared" si="12"/>
        <v>87.6</v>
      </c>
      <c r="X344" s="3">
        <v>1.1288852030141123</v>
      </c>
      <c r="Y344" t="s">
        <v>1327</v>
      </c>
      <c r="Z344" s="4">
        <v>42150</v>
      </c>
      <c r="AA344" t="s">
        <v>1362</v>
      </c>
      <c r="AB344" t="s">
        <v>392</v>
      </c>
      <c r="AC344" t="s">
        <v>1327</v>
      </c>
      <c r="AD344" t="s">
        <v>882</v>
      </c>
      <c r="AE344" t="s">
        <v>1364</v>
      </c>
      <c r="AF344" t="s">
        <v>1376</v>
      </c>
      <c r="AG344" s="6" t="s">
        <v>443</v>
      </c>
      <c r="AH344" s="2">
        <v>0.05</v>
      </c>
      <c r="AI344" s="5">
        <v>33.1</v>
      </c>
      <c r="AJ344" s="6" t="s">
        <v>443</v>
      </c>
      <c r="AK344" s="5">
        <v>36.1</v>
      </c>
      <c r="AL344" s="5">
        <v>10.1</v>
      </c>
      <c r="AM344" s="6" t="s">
        <v>443</v>
      </c>
      <c r="AN344" s="6" t="s">
        <v>443</v>
      </c>
      <c r="AO344" s="6" t="s">
        <v>443</v>
      </c>
      <c r="AP344" s="6" t="s">
        <v>443</v>
      </c>
      <c r="AQ344" s="6" t="s">
        <v>443</v>
      </c>
      <c r="AR344" s="6" t="s">
        <v>1370</v>
      </c>
      <c r="AS344" t="s">
        <v>1327</v>
      </c>
      <c r="AT344" t="s">
        <v>951</v>
      </c>
    </row>
    <row r="345" spans="1:46" x14ac:dyDescent="0.35">
      <c r="A345" t="s">
        <v>399</v>
      </c>
      <c r="B345" t="s">
        <v>397</v>
      </c>
      <c r="C345" t="s">
        <v>1035</v>
      </c>
      <c r="D345" s="2" t="s">
        <v>595</v>
      </c>
      <c r="E345" s="2" t="s">
        <v>385</v>
      </c>
      <c r="F345" s="2" t="s">
        <v>716</v>
      </c>
      <c r="G345" s="3">
        <v>17540</v>
      </c>
      <c r="H345" s="3">
        <v>277.2</v>
      </c>
      <c r="I345" s="3">
        <v>5</v>
      </c>
      <c r="J345" s="3">
        <v>15.1</v>
      </c>
      <c r="K345" s="3">
        <v>817</v>
      </c>
      <c r="L345" s="3">
        <v>2664</v>
      </c>
      <c r="M345" s="3">
        <v>20400</v>
      </c>
      <c r="N345" s="3">
        <v>6571</v>
      </c>
      <c r="O345" s="5">
        <v>98.9</v>
      </c>
      <c r="P345" s="5">
        <v>0.9</v>
      </c>
      <c r="Q345" s="5">
        <v>0</v>
      </c>
      <c r="R345" s="5">
        <v>0.2</v>
      </c>
      <c r="S345" s="5">
        <v>3.6</v>
      </c>
      <c r="T345" s="5">
        <v>8.8000000000000007</v>
      </c>
      <c r="U345" s="5">
        <v>52.9</v>
      </c>
      <c r="V345" s="5">
        <v>34.700000000000003</v>
      </c>
      <c r="W345" s="5">
        <f t="shared" si="12"/>
        <v>87.6</v>
      </c>
      <c r="X345" s="3">
        <v>9.9516873296158792</v>
      </c>
      <c r="Y345" t="s">
        <v>1327</v>
      </c>
      <c r="Z345" s="4">
        <v>42150</v>
      </c>
      <c r="AA345" t="s">
        <v>1362</v>
      </c>
      <c r="AB345" t="s">
        <v>398</v>
      </c>
      <c r="AC345" t="s">
        <v>1327</v>
      </c>
      <c r="AD345" t="s">
        <v>886</v>
      </c>
      <c r="AE345" t="s">
        <v>1364</v>
      </c>
      <c r="AF345" t="s">
        <v>1376</v>
      </c>
      <c r="AG345" s="6" t="s">
        <v>443</v>
      </c>
      <c r="AH345" s="2">
        <v>0.05</v>
      </c>
      <c r="AI345" s="5">
        <v>44.2</v>
      </c>
      <c r="AJ345" s="6" t="s">
        <v>443</v>
      </c>
      <c r="AK345" s="5">
        <v>48.3</v>
      </c>
      <c r="AL345" s="5">
        <v>10.1</v>
      </c>
      <c r="AM345" s="6" t="s">
        <v>443</v>
      </c>
      <c r="AN345" s="6" t="s">
        <v>443</v>
      </c>
      <c r="AO345" s="6" t="s">
        <v>443</v>
      </c>
      <c r="AP345" s="6" t="s">
        <v>443</v>
      </c>
      <c r="AQ345" s="6" t="s">
        <v>443</v>
      </c>
      <c r="AR345" s="6" t="s">
        <v>1370</v>
      </c>
      <c r="AS345" t="s">
        <v>1327</v>
      </c>
      <c r="AT345" t="s">
        <v>951</v>
      </c>
    </row>
    <row r="346" spans="1:46" x14ac:dyDescent="0.35">
      <c r="A346" t="s">
        <v>405</v>
      </c>
      <c r="B346" t="s">
        <v>403</v>
      </c>
      <c r="C346" t="s">
        <v>1035</v>
      </c>
      <c r="D346" s="2" t="s">
        <v>595</v>
      </c>
      <c r="E346" s="2" t="s">
        <v>385</v>
      </c>
      <c r="F346" s="2" t="s">
        <v>716</v>
      </c>
      <c r="G346" s="3">
        <v>7967</v>
      </c>
      <c r="H346" s="3">
        <v>58</v>
      </c>
      <c r="I346" s="3">
        <v>4.5</v>
      </c>
      <c r="J346" s="3">
        <v>6.4</v>
      </c>
      <c r="K346" s="3">
        <v>302</v>
      </c>
      <c r="L346" s="3">
        <v>46</v>
      </c>
      <c r="M346" s="3">
        <v>11883</v>
      </c>
      <c r="N346" s="3">
        <v>3558</v>
      </c>
      <c r="O346" s="5">
        <v>99.4</v>
      </c>
      <c r="P346" s="5">
        <v>0.4</v>
      </c>
      <c r="Q346" s="5">
        <v>0.1</v>
      </c>
      <c r="R346" s="5">
        <v>0.2</v>
      </c>
      <c r="S346" s="5">
        <v>2.6</v>
      </c>
      <c r="T346" s="5">
        <v>0.3</v>
      </c>
      <c r="U346" s="5">
        <v>60.3</v>
      </c>
      <c r="V346" s="5">
        <v>36.700000000000003</v>
      </c>
      <c r="W346" s="5">
        <f t="shared" si="12"/>
        <v>97</v>
      </c>
      <c r="X346" s="3">
        <v>3.8655034852223586</v>
      </c>
      <c r="Y346" t="s">
        <v>1327</v>
      </c>
      <c r="Z346" s="4">
        <v>42150</v>
      </c>
      <c r="AA346" t="s">
        <v>1362</v>
      </c>
      <c r="AB346" t="s">
        <v>404</v>
      </c>
      <c r="AC346" t="s">
        <v>1327</v>
      </c>
      <c r="AD346" t="s">
        <v>890</v>
      </c>
      <c r="AE346" t="s">
        <v>1364</v>
      </c>
      <c r="AF346" t="s">
        <v>1376</v>
      </c>
      <c r="AG346" s="6" t="s">
        <v>443</v>
      </c>
      <c r="AH346" s="2">
        <v>0.05</v>
      </c>
      <c r="AI346" s="5">
        <v>22.9</v>
      </c>
      <c r="AJ346" s="6" t="s">
        <v>443</v>
      </c>
      <c r="AK346" s="5">
        <v>23.8</v>
      </c>
      <c r="AL346" s="5">
        <v>10.1</v>
      </c>
      <c r="AM346" s="6" t="s">
        <v>443</v>
      </c>
      <c r="AN346" s="6" t="s">
        <v>443</v>
      </c>
      <c r="AO346" s="6" t="s">
        <v>443</v>
      </c>
      <c r="AP346" s="6" t="s">
        <v>443</v>
      </c>
      <c r="AQ346" s="6" t="s">
        <v>443</v>
      </c>
      <c r="AR346" s="6" t="s">
        <v>1370</v>
      </c>
      <c r="AS346" t="s">
        <v>1327</v>
      </c>
      <c r="AT346" t="s">
        <v>951</v>
      </c>
    </row>
    <row r="347" spans="1:46" x14ac:dyDescent="0.35">
      <c r="A347" t="s">
        <v>555</v>
      </c>
      <c r="B347" t="s">
        <v>555</v>
      </c>
      <c r="C347" t="s">
        <v>1037</v>
      </c>
      <c r="D347" s="2" t="s">
        <v>594</v>
      </c>
      <c r="E347" s="2" t="s">
        <v>554</v>
      </c>
      <c r="F347" s="2" t="s">
        <v>619</v>
      </c>
      <c r="G347" s="3" t="s">
        <v>443</v>
      </c>
      <c r="H347" s="3" t="s">
        <v>443</v>
      </c>
      <c r="I347" s="3" t="s">
        <v>443</v>
      </c>
      <c r="J347" s="3" t="s">
        <v>443</v>
      </c>
      <c r="K347" s="3">
        <v>82.6</v>
      </c>
      <c r="L347" s="3">
        <v>102.7</v>
      </c>
      <c r="M347" s="3" t="s">
        <v>443</v>
      </c>
      <c r="N347" s="3" t="s">
        <v>443</v>
      </c>
      <c r="O347" s="5" t="s">
        <v>443</v>
      </c>
      <c r="P347" s="5" t="s">
        <v>443</v>
      </c>
      <c r="Q347" s="5" t="s">
        <v>443</v>
      </c>
      <c r="R347" s="5" t="s">
        <v>443</v>
      </c>
      <c r="S347" s="5" t="s">
        <v>443</v>
      </c>
      <c r="T347" s="5" t="s">
        <v>443</v>
      </c>
      <c r="U347" s="5" t="s">
        <v>443</v>
      </c>
      <c r="V347" s="5" t="s">
        <v>443</v>
      </c>
      <c r="W347" s="5" t="s">
        <v>443</v>
      </c>
      <c r="X347" s="3" t="s">
        <v>443</v>
      </c>
      <c r="Y347" t="s">
        <v>1341</v>
      </c>
      <c r="Z347" s="4">
        <v>42186</v>
      </c>
      <c r="AA347" t="s">
        <v>556</v>
      </c>
      <c r="AB347" t="s">
        <v>557</v>
      </c>
      <c r="AC347" t="s">
        <v>1308</v>
      </c>
      <c r="AD347" t="s">
        <v>858</v>
      </c>
      <c r="AE347" t="s">
        <v>1364</v>
      </c>
      <c r="AF347" t="s">
        <v>1378</v>
      </c>
      <c r="AG347" s="6" t="s">
        <v>443</v>
      </c>
      <c r="AH347" s="2" t="s">
        <v>857</v>
      </c>
      <c r="AI347" s="5" t="s">
        <v>443</v>
      </c>
      <c r="AJ347" s="5">
        <v>0.5</v>
      </c>
      <c r="AK347" s="5" t="s">
        <v>443</v>
      </c>
      <c r="AL347" s="5">
        <v>8.9</v>
      </c>
      <c r="AM347" s="5">
        <v>16.100000000000001</v>
      </c>
      <c r="AN347" s="5">
        <v>6.2</v>
      </c>
      <c r="AO347" s="5" t="s">
        <v>443</v>
      </c>
      <c r="AP347" s="2">
        <v>5.89</v>
      </c>
      <c r="AQ347" s="5" t="s">
        <v>443</v>
      </c>
      <c r="AR347" s="2" t="s">
        <v>1370</v>
      </c>
      <c r="AS347" t="s">
        <v>1316</v>
      </c>
    </row>
    <row r="348" spans="1:46" x14ac:dyDescent="0.35">
      <c r="A348" t="s">
        <v>621</v>
      </c>
      <c r="B348" t="s">
        <v>621</v>
      </c>
      <c r="C348" t="s">
        <v>1037</v>
      </c>
      <c r="D348" s="2" t="s">
        <v>594</v>
      </c>
      <c r="E348" s="2" t="s">
        <v>554</v>
      </c>
      <c r="F348" s="2" t="s">
        <v>619</v>
      </c>
      <c r="G348" s="3">
        <v>26</v>
      </c>
      <c r="H348" s="3">
        <v>21</v>
      </c>
      <c r="I348" s="3">
        <v>19</v>
      </c>
      <c r="J348" s="3">
        <v>12</v>
      </c>
      <c r="K348" s="3">
        <v>14</v>
      </c>
      <c r="L348" s="3">
        <v>112</v>
      </c>
      <c r="M348" s="3">
        <v>46</v>
      </c>
      <c r="N348" s="3">
        <v>3</v>
      </c>
      <c r="O348" s="5">
        <v>31.4</v>
      </c>
      <c r="P348" s="5">
        <v>14.9</v>
      </c>
      <c r="Q348" s="5">
        <v>26.3</v>
      </c>
      <c r="R348" s="5">
        <v>27.4</v>
      </c>
      <c r="S348" s="5">
        <v>11</v>
      </c>
      <c r="T348" s="5">
        <v>65.099999999999994</v>
      </c>
      <c r="U348" s="5">
        <v>21.1</v>
      </c>
      <c r="V348" s="5">
        <v>2.8</v>
      </c>
      <c r="W348" s="5">
        <f>SUM(U348:V348)</f>
        <v>23.900000000000002</v>
      </c>
      <c r="X348" s="3">
        <v>0.32180014115463107</v>
      </c>
      <c r="Y348" t="s">
        <v>1342</v>
      </c>
      <c r="Z348" s="4">
        <v>42186</v>
      </c>
      <c r="AA348" t="s">
        <v>556</v>
      </c>
      <c r="AB348" t="s">
        <v>558</v>
      </c>
      <c r="AC348" t="s">
        <v>1308</v>
      </c>
      <c r="AD348" t="s">
        <v>859</v>
      </c>
      <c r="AE348" t="s">
        <v>1364</v>
      </c>
      <c r="AF348" t="s">
        <v>1378</v>
      </c>
      <c r="AG348" s="6" t="s">
        <v>443</v>
      </c>
      <c r="AH348" s="2" t="s">
        <v>857</v>
      </c>
      <c r="AI348" s="5" t="s">
        <v>443</v>
      </c>
      <c r="AJ348" s="5">
        <v>0.1</v>
      </c>
      <c r="AK348" s="5" t="s">
        <v>443</v>
      </c>
      <c r="AL348" s="5">
        <v>8.6999999999999993</v>
      </c>
      <c r="AM348" s="5">
        <v>12.5</v>
      </c>
      <c r="AN348" s="5">
        <v>5.7</v>
      </c>
      <c r="AO348" s="5" t="s">
        <v>443</v>
      </c>
      <c r="AP348" s="2">
        <v>3.09</v>
      </c>
      <c r="AQ348" s="5" t="s">
        <v>443</v>
      </c>
      <c r="AR348" s="2" t="s">
        <v>1370</v>
      </c>
      <c r="AS348" t="s">
        <v>1316</v>
      </c>
    </row>
    <row r="349" spans="1:46" x14ac:dyDescent="0.35">
      <c r="A349" t="s">
        <v>622</v>
      </c>
      <c r="B349" t="s">
        <v>970</v>
      </c>
      <c r="C349" t="s">
        <v>1037</v>
      </c>
      <c r="D349" s="2" t="s">
        <v>594</v>
      </c>
      <c r="E349" s="2" t="s">
        <v>554</v>
      </c>
      <c r="F349" s="2" t="s">
        <v>619</v>
      </c>
      <c r="G349" s="3">
        <v>30</v>
      </c>
      <c r="H349" s="3">
        <v>0</v>
      </c>
      <c r="I349" s="3">
        <v>20</v>
      </c>
      <c r="J349" s="3">
        <v>40</v>
      </c>
      <c r="K349" s="3">
        <v>10</v>
      </c>
      <c r="L349" s="3">
        <v>20</v>
      </c>
      <c r="M349" s="3">
        <v>280</v>
      </c>
      <c r="N349" s="3" t="s">
        <v>443</v>
      </c>
      <c r="O349" s="5">
        <v>23.322462940056006</v>
      </c>
      <c r="P349" s="5">
        <v>0</v>
      </c>
      <c r="Q349" s="5">
        <v>17.837106553289669</v>
      </c>
      <c r="R349" s="5">
        <v>58.840430506654315</v>
      </c>
      <c r="S349" s="5">
        <v>5.3353370001932534</v>
      </c>
      <c r="T349" s="5">
        <v>7.8758149763419061</v>
      </c>
      <c r="U349" s="5">
        <v>86.788848023464837</v>
      </c>
      <c r="V349" s="5" t="s">
        <v>443</v>
      </c>
      <c r="W349" s="5">
        <f>SUM(U349:V349)</f>
        <v>86.788848023464837</v>
      </c>
      <c r="X349" s="3">
        <v>3</v>
      </c>
      <c r="Y349" t="s">
        <v>1343</v>
      </c>
      <c r="Z349" s="4">
        <v>42186</v>
      </c>
      <c r="AA349" t="s">
        <v>556</v>
      </c>
      <c r="AB349" t="s">
        <v>559</v>
      </c>
      <c r="AC349" t="s">
        <v>1308</v>
      </c>
      <c r="AD349" t="s">
        <v>860</v>
      </c>
      <c r="AE349" t="s">
        <v>1364</v>
      </c>
      <c r="AF349" t="s">
        <v>1378</v>
      </c>
      <c r="AG349" s="6" t="s">
        <v>443</v>
      </c>
      <c r="AH349" s="2" t="s">
        <v>857</v>
      </c>
      <c r="AI349" s="5" t="s">
        <v>443</v>
      </c>
      <c r="AJ349" s="5">
        <v>0.2</v>
      </c>
      <c r="AK349" s="5" t="s">
        <v>443</v>
      </c>
      <c r="AL349" s="5">
        <v>9</v>
      </c>
      <c r="AM349" s="5">
        <v>15.6</v>
      </c>
      <c r="AN349" s="5">
        <v>6</v>
      </c>
      <c r="AO349" s="5" t="s">
        <v>443</v>
      </c>
      <c r="AP349" s="6">
        <v>9</v>
      </c>
      <c r="AQ349" s="5" t="s">
        <v>443</v>
      </c>
      <c r="AR349" s="2" t="s">
        <v>1370</v>
      </c>
      <c r="AS349" t="s">
        <v>1316</v>
      </c>
    </row>
    <row r="350" spans="1:46" x14ac:dyDescent="0.35">
      <c r="A350" t="s">
        <v>560</v>
      </c>
      <c r="B350" t="s">
        <v>560</v>
      </c>
      <c r="C350" t="s">
        <v>1037</v>
      </c>
      <c r="D350" s="2" t="s">
        <v>594</v>
      </c>
      <c r="E350" s="2" t="s">
        <v>554</v>
      </c>
      <c r="F350" s="2" t="s">
        <v>619</v>
      </c>
      <c r="G350" s="3">
        <v>52</v>
      </c>
      <c r="H350" s="3">
        <v>6</v>
      </c>
      <c r="I350" s="3">
        <v>28</v>
      </c>
      <c r="J350" s="3">
        <v>31</v>
      </c>
      <c r="K350" s="3">
        <v>14</v>
      </c>
      <c r="L350" s="3">
        <v>32</v>
      </c>
      <c r="M350" s="3">
        <v>323</v>
      </c>
      <c r="N350" s="3" t="s">
        <v>443</v>
      </c>
      <c r="O350" s="5">
        <v>35.541643427830778</v>
      </c>
      <c r="P350" s="5">
        <v>2.41127990086316</v>
      </c>
      <c r="Q350" s="5">
        <v>21.95500029495166</v>
      </c>
      <c r="R350" s="5">
        <v>40.092076376354399</v>
      </c>
      <c r="S350" s="5">
        <v>6.214827870891269</v>
      </c>
      <c r="T350" s="5">
        <v>10.484668416672701</v>
      </c>
      <c r="U350" s="5">
        <v>83.30050371243604</v>
      </c>
      <c r="V350" s="5" t="s">
        <v>443</v>
      </c>
      <c r="W350" s="5">
        <f>SUM(U350:V350)</f>
        <v>83.30050371243604</v>
      </c>
      <c r="X350" s="3">
        <v>0</v>
      </c>
      <c r="Y350" t="s">
        <v>1344</v>
      </c>
      <c r="Z350" s="4">
        <v>42186</v>
      </c>
      <c r="AA350" t="s">
        <v>556</v>
      </c>
      <c r="AB350" t="s">
        <v>561</v>
      </c>
      <c r="AC350" t="s">
        <v>1308</v>
      </c>
      <c r="AD350" t="s">
        <v>861</v>
      </c>
      <c r="AE350" t="s">
        <v>1364</v>
      </c>
      <c r="AF350" t="s">
        <v>1378</v>
      </c>
      <c r="AG350" s="6" t="s">
        <v>443</v>
      </c>
      <c r="AH350" s="2" t="s">
        <v>857</v>
      </c>
      <c r="AI350" s="5" t="s">
        <v>443</v>
      </c>
      <c r="AJ350" s="5">
        <v>0.2</v>
      </c>
      <c r="AK350" s="5" t="s">
        <v>443</v>
      </c>
      <c r="AL350" s="5">
        <v>8.9</v>
      </c>
      <c r="AM350" s="5">
        <v>12.4</v>
      </c>
      <c r="AN350" s="5">
        <v>6.2</v>
      </c>
      <c r="AO350" s="5" t="s">
        <v>443</v>
      </c>
      <c r="AP350" s="2">
        <v>2.48</v>
      </c>
      <c r="AQ350" s="5" t="s">
        <v>443</v>
      </c>
      <c r="AR350" s="2" t="s">
        <v>1370</v>
      </c>
      <c r="AS350" t="s">
        <v>1316</v>
      </c>
    </row>
    <row r="351" spans="1:46" x14ac:dyDescent="0.35">
      <c r="A351" t="s">
        <v>562</v>
      </c>
      <c r="B351" t="s">
        <v>562</v>
      </c>
      <c r="C351" t="s">
        <v>1037</v>
      </c>
      <c r="D351" s="2" t="s">
        <v>594</v>
      </c>
      <c r="E351" s="2" t="s">
        <v>554</v>
      </c>
      <c r="F351" s="2" t="s">
        <v>619</v>
      </c>
      <c r="G351" s="3" t="s">
        <v>443</v>
      </c>
      <c r="H351" s="3" t="s">
        <v>443</v>
      </c>
      <c r="I351" s="3" t="s">
        <v>443</v>
      </c>
      <c r="J351" s="3" t="s">
        <v>443</v>
      </c>
      <c r="K351" s="3" t="s">
        <v>443</v>
      </c>
      <c r="L351" s="3" t="s">
        <v>443</v>
      </c>
      <c r="M351" s="3" t="s">
        <v>443</v>
      </c>
      <c r="N351" s="3" t="s">
        <v>443</v>
      </c>
      <c r="O351" s="5" t="s">
        <v>443</v>
      </c>
      <c r="P351" s="5" t="s">
        <v>443</v>
      </c>
      <c r="Q351" s="5" t="s">
        <v>443</v>
      </c>
      <c r="R351" s="5" t="s">
        <v>443</v>
      </c>
      <c r="S351" s="5" t="s">
        <v>443</v>
      </c>
      <c r="T351" s="5" t="s">
        <v>443</v>
      </c>
      <c r="U351" s="5" t="s">
        <v>443</v>
      </c>
      <c r="V351" s="5" t="s">
        <v>443</v>
      </c>
      <c r="W351" s="5" t="s">
        <v>443</v>
      </c>
      <c r="X351" s="3" t="s">
        <v>443</v>
      </c>
      <c r="Y351" t="s">
        <v>605</v>
      </c>
      <c r="Z351" s="4">
        <v>42186</v>
      </c>
      <c r="AA351" t="s">
        <v>556</v>
      </c>
      <c r="AB351" t="s">
        <v>563</v>
      </c>
      <c r="AC351" t="s">
        <v>1308</v>
      </c>
      <c r="AD351" t="s">
        <v>862</v>
      </c>
      <c r="AE351" t="s">
        <v>1364</v>
      </c>
      <c r="AF351" t="s">
        <v>1378</v>
      </c>
      <c r="AG351" s="6" t="s">
        <v>443</v>
      </c>
      <c r="AH351" s="2" t="s">
        <v>857</v>
      </c>
      <c r="AI351" s="5" t="s">
        <v>443</v>
      </c>
      <c r="AJ351" s="5">
        <v>0.2</v>
      </c>
      <c r="AK351" s="5" t="s">
        <v>443</v>
      </c>
      <c r="AL351" s="5">
        <v>8.8000000000000007</v>
      </c>
      <c r="AM351" s="5">
        <v>13.2</v>
      </c>
      <c r="AN351" s="5">
        <v>6.4</v>
      </c>
      <c r="AO351" s="5" t="s">
        <v>443</v>
      </c>
      <c r="AP351" s="2">
        <v>7.61</v>
      </c>
      <c r="AQ351" s="5" t="s">
        <v>443</v>
      </c>
      <c r="AR351" s="2" t="s">
        <v>1370</v>
      </c>
      <c r="AS351" t="s">
        <v>1316</v>
      </c>
    </row>
    <row r="352" spans="1:46" x14ac:dyDescent="0.35">
      <c r="A352" t="s">
        <v>625</v>
      </c>
      <c r="B352" t="s">
        <v>625</v>
      </c>
      <c r="C352" t="s">
        <v>1036</v>
      </c>
      <c r="D352" s="2" t="s">
        <v>594</v>
      </c>
      <c r="E352" s="2" t="s">
        <v>554</v>
      </c>
      <c r="F352" s="2" t="s">
        <v>717</v>
      </c>
      <c r="G352" s="3">
        <v>2533</v>
      </c>
      <c r="H352" s="3">
        <v>292</v>
      </c>
      <c r="I352" s="3">
        <v>76</v>
      </c>
      <c r="J352" s="3">
        <v>196</v>
      </c>
      <c r="K352" s="3">
        <v>1362</v>
      </c>
      <c r="L352" s="3">
        <v>4195</v>
      </c>
      <c r="M352" s="3">
        <v>483</v>
      </c>
      <c r="N352" s="3">
        <v>112</v>
      </c>
      <c r="O352" s="5">
        <v>80.099999999999994</v>
      </c>
      <c r="P352" s="5">
        <v>5.4</v>
      </c>
      <c r="Q352" s="5">
        <v>2.8</v>
      </c>
      <c r="R352" s="5">
        <v>11.7</v>
      </c>
      <c r="S352" s="5">
        <v>28</v>
      </c>
      <c r="T352" s="5">
        <v>63.6</v>
      </c>
      <c r="U352" s="5">
        <v>5.8</v>
      </c>
      <c r="V352" s="5">
        <v>2.7</v>
      </c>
      <c r="W352" s="5">
        <f t="shared" ref="W352:W365" si="13">SUM(U352:V352)</f>
        <v>8.5</v>
      </c>
      <c r="X352" s="3">
        <v>5.8238708357664738E-2</v>
      </c>
      <c r="Y352" t="s">
        <v>1342</v>
      </c>
      <c r="Z352" s="4">
        <v>42186</v>
      </c>
      <c r="AA352" t="s">
        <v>556</v>
      </c>
      <c r="AB352" t="s">
        <v>564</v>
      </c>
      <c r="AC352" t="s">
        <v>1308</v>
      </c>
      <c r="AD352" t="s">
        <v>863</v>
      </c>
      <c r="AE352" t="s">
        <v>1364</v>
      </c>
      <c r="AF352" t="s">
        <v>1378</v>
      </c>
      <c r="AG352" s="6" t="s">
        <v>443</v>
      </c>
      <c r="AH352" s="2" t="s">
        <v>857</v>
      </c>
      <c r="AI352" s="5" t="s">
        <v>443</v>
      </c>
      <c r="AJ352" s="5">
        <v>7.3</v>
      </c>
      <c r="AK352" s="5" t="s">
        <v>443</v>
      </c>
      <c r="AL352" s="5">
        <v>9.6999999999999993</v>
      </c>
      <c r="AM352" s="5">
        <v>14.7</v>
      </c>
      <c r="AN352" s="5">
        <v>6.1</v>
      </c>
      <c r="AO352" s="5" t="s">
        <v>443</v>
      </c>
      <c r="AP352" s="2">
        <v>14.88</v>
      </c>
      <c r="AQ352" s="5" t="s">
        <v>443</v>
      </c>
      <c r="AR352" s="2" t="s">
        <v>1370</v>
      </c>
      <c r="AS352" t="s">
        <v>1316</v>
      </c>
    </row>
    <row r="353" spans="1:46" x14ac:dyDescent="0.35">
      <c r="A353" t="s">
        <v>626</v>
      </c>
      <c r="B353" t="s">
        <v>626</v>
      </c>
      <c r="C353" t="s">
        <v>1036</v>
      </c>
      <c r="D353" s="2" t="s">
        <v>594</v>
      </c>
      <c r="E353" s="2" t="s">
        <v>554</v>
      </c>
      <c r="F353" s="2" t="s">
        <v>717</v>
      </c>
      <c r="G353" s="3">
        <v>32000</v>
      </c>
      <c r="H353" s="3">
        <v>3000</v>
      </c>
      <c r="I353" s="3">
        <v>0</v>
      </c>
      <c r="J353" s="3">
        <v>5000</v>
      </c>
      <c r="K353" s="3">
        <v>4000</v>
      </c>
      <c r="L353" s="3">
        <v>65000</v>
      </c>
      <c r="M353" s="3">
        <v>2000</v>
      </c>
      <c r="N353" s="3">
        <v>0</v>
      </c>
      <c r="O353" s="5">
        <v>74.031499160892295</v>
      </c>
      <c r="P353" s="5">
        <v>4.0808443870897868</v>
      </c>
      <c r="Q353" s="5">
        <v>0</v>
      </c>
      <c r="R353" s="5">
        <v>21.887656452017925</v>
      </c>
      <c r="S353" s="5">
        <v>7.527691845471689</v>
      </c>
      <c r="T353" s="5">
        <v>90.285675280700289</v>
      </c>
      <c r="U353" s="5">
        <v>2.1866328738280183</v>
      </c>
      <c r="V353" s="5">
        <v>0</v>
      </c>
      <c r="W353" s="5">
        <f t="shared" si="13"/>
        <v>2.1866328738280183</v>
      </c>
      <c r="X353" s="3">
        <v>11.281927718374742</v>
      </c>
      <c r="Y353" t="s">
        <v>1345</v>
      </c>
      <c r="Z353" s="4">
        <v>42186</v>
      </c>
      <c r="AA353" t="s">
        <v>556</v>
      </c>
      <c r="AB353" t="s">
        <v>565</v>
      </c>
      <c r="AC353" t="s">
        <v>1308</v>
      </c>
      <c r="AD353" t="s">
        <v>864</v>
      </c>
      <c r="AE353" t="s">
        <v>1364</v>
      </c>
      <c r="AF353" t="s">
        <v>1378</v>
      </c>
      <c r="AG353" s="6" t="s">
        <v>443</v>
      </c>
      <c r="AH353" s="2" t="s">
        <v>857</v>
      </c>
      <c r="AI353" s="5" t="s">
        <v>443</v>
      </c>
      <c r="AJ353" s="5">
        <v>29.7</v>
      </c>
      <c r="AK353" s="5" t="s">
        <v>443</v>
      </c>
      <c r="AL353" s="5">
        <v>9</v>
      </c>
      <c r="AM353" s="5">
        <v>18.100000000000001</v>
      </c>
      <c r="AN353" s="5">
        <v>4.4000000000000004</v>
      </c>
      <c r="AO353" s="5" t="s">
        <v>443</v>
      </c>
      <c r="AP353" s="2">
        <v>34.39</v>
      </c>
      <c r="AQ353" s="5" t="s">
        <v>443</v>
      </c>
      <c r="AR353" s="2" t="s">
        <v>1370</v>
      </c>
      <c r="AS353" t="s">
        <v>1316</v>
      </c>
    </row>
    <row r="354" spans="1:46" x14ac:dyDescent="0.35">
      <c r="A354" t="s">
        <v>623</v>
      </c>
      <c r="B354" t="s">
        <v>970</v>
      </c>
      <c r="C354" t="s">
        <v>1035</v>
      </c>
      <c r="D354" s="2" t="s">
        <v>594</v>
      </c>
      <c r="E354" s="2" t="s">
        <v>554</v>
      </c>
      <c r="F354" s="2" t="s">
        <v>716</v>
      </c>
      <c r="G354" s="3">
        <v>1478</v>
      </c>
      <c r="H354" s="3">
        <v>146</v>
      </c>
      <c r="I354" s="3">
        <v>6</v>
      </c>
      <c r="J354" s="3">
        <v>118</v>
      </c>
      <c r="K354" s="3">
        <v>809</v>
      </c>
      <c r="L354" s="3">
        <v>1174</v>
      </c>
      <c r="M354" s="3">
        <v>1011</v>
      </c>
      <c r="N354" s="3">
        <v>629</v>
      </c>
      <c r="O354" s="5">
        <v>82.385472466717275</v>
      </c>
      <c r="P354" s="5">
        <v>4.7851027993423614</v>
      </c>
      <c r="Q354" s="5">
        <v>0.38367959858560891</v>
      </c>
      <c r="R354" s="5">
        <v>12.445745135354747</v>
      </c>
      <c r="S354" s="5">
        <v>26.911746300759475</v>
      </c>
      <c r="T354" s="5">
        <v>28.824720722521697</v>
      </c>
      <c r="U354" s="5">
        <v>19.538379923498798</v>
      </c>
      <c r="V354" s="5">
        <v>24.725153053220016</v>
      </c>
      <c r="W354" s="5">
        <f t="shared" si="13"/>
        <v>44.263532976718814</v>
      </c>
      <c r="X354" s="3">
        <v>-4.1544155109123304</v>
      </c>
      <c r="Y354" t="s">
        <v>1346</v>
      </c>
      <c r="Z354" s="4">
        <v>42186</v>
      </c>
      <c r="AA354" t="s">
        <v>556</v>
      </c>
      <c r="AB354" t="s">
        <v>566</v>
      </c>
      <c r="AC354" t="s">
        <v>1308</v>
      </c>
      <c r="AD354" t="s">
        <v>865</v>
      </c>
      <c r="AE354" t="s">
        <v>1364</v>
      </c>
      <c r="AF354" t="s">
        <v>1378</v>
      </c>
      <c r="AG354" s="6" t="s">
        <v>443</v>
      </c>
      <c r="AH354" s="2" t="s">
        <v>857</v>
      </c>
      <c r="AI354" s="5" t="s">
        <v>443</v>
      </c>
      <c r="AJ354" s="5">
        <v>3.8</v>
      </c>
      <c r="AK354" s="5" t="s">
        <v>443</v>
      </c>
      <c r="AL354" s="5">
        <v>9.5</v>
      </c>
      <c r="AM354" s="5">
        <v>15.9</v>
      </c>
      <c r="AN354" s="5">
        <v>5.0999999999999996</v>
      </c>
      <c r="AO354" s="5" t="s">
        <v>443</v>
      </c>
      <c r="AP354" s="2">
        <v>18.920000000000002</v>
      </c>
      <c r="AQ354" s="5" t="s">
        <v>443</v>
      </c>
      <c r="AR354" s="2" t="s">
        <v>1370</v>
      </c>
      <c r="AS354" t="s">
        <v>1316</v>
      </c>
    </row>
    <row r="355" spans="1:46" x14ac:dyDescent="0.35">
      <c r="A355" t="s">
        <v>567</v>
      </c>
      <c r="B355" t="s">
        <v>567</v>
      </c>
      <c r="C355" t="s">
        <v>1036</v>
      </c>
      <c r="D355" s="2" t="s">
        <v>594</v>
      </c>
      <c r="E355" s="2" t="s">
        <v>554</v>
      </c>
      <c r="F355" s="2" t="s">
        <v>717</v>
      </c>
      <c r="G355" s="3">
        <v>7390</v>
      </c>
      <c r="H355" s="3">
        <v>945</v>
      </c>
      <c r="I355" s="3">
        <v>57</v>
      </c>
      <c r="J355" s="3">
        <v>542</v>
      </c>
      <c r="K355" s="3">
        <v>3155</v>
      </c>
      <c r="L355" s="3">
        <v>14193</v>
      </c>
      <c r="M355" s="3">
        <v>272</v>
      </c>
      <c r="N355" s="3">
        <v>112</v>
      </c>
      <c r="O355" s="5">
        <v>81.8</v>
      </c>
      <c r="P355" s="5">
        <v>6.1</v>
      </c>
      <c r="Q355" s="5">
        <v>0.7</v>
      </c>
      <c r="R355" s="5">
        <v>11.3</v>
      </c>
      <c r="S355" s="5">
        <v>22.7</v>
      </c>
      <c r="T355" s="5">
        <v>75.3</v>
      </c>
      <c r="U355" s="5">
        <v>1.1000000000000001</v>
      </c>
      <c r="V355" s="5">
        <v>1</v>
      </c>
      <c r="W355" s="5">
        <f t="shared" si="13"/>
        <v>2.1</v>
      </c>
      <c r="X355" s="3">
        <v>4.7594826587251129E-2</v>
      </c>
      <c r="Y355" t="s">
        <v>1342</v>
      </c>
      <c r="Z355" s="4">
        <v>42186</v>
      </c>
      <c r="AA355" t="s">
        <v>556</v>
      </c>
      <c r="AB355" t="s">
        <v>568</v>
      </c>
      <c r="AC355" t="s">
        <v>1308</v>
      </c>
      <c r="AD355" t="s">
        <v>866</v>
      </c>
      <c r="AE355" t="s">
        <v>1364</v>
      </c>
      <c r="AF355" t="s">
        <v>1378</v>
      </c>
      <c r="AG355" s="6" t="s">
        <v>443</v>
      </c>
      <c r="AH355" s="2" t="s">
        <v>857</v>
      </c>
      <c r="AI355" s="5" t="s">
        <v>443</v>
      </c>
      <c r="AJ355" s="5">
        <v>17.7</v>
      </c>
      <c r="AK355" s="5" t="s">
        <v>443</v>
      </c>
      <c r="AL355" s="5">
        <v>9.3000000000000007</v>
      </c>
      <c r="AM355" s="5" t="s">
        <v>443</v>
      </c>
      <c r="AN355" s="5" t="s">
        <v>443</v>
      </c>
      <c r="AO355" s="5" t="s">
        <v>443</v>
      </c>
      <c r="AP355" s="5" t="s">
        <v>443</v>
      </c>
      <c r="AQ355" s="5" t="s">
        <v>443</v>
      </c>
      <c r="AR355" s="2" t="s">
        <v>1370</v>
      </c>
      <c r="AS355" t="s">
        <v>1317</v>
      </c>
    </row>
    <row r="356" spans="1:46" x14ac:dyDescent="0.35">
      <c r="A356" t="s">
        <v>569</v>
      </c>
      <c r="B356" t="s">
        <v>569</v>
      </c>
      <c r="C356" t="s">
        <v>1035</v>
      </c>
      <c r="D356" s="2" t="s">
        <v>594</v>
      </c>
      <c r="E356" s="2" t="s">
        <v>554</v>
      </c>
      <c r="F356" s="2" t="s">
        <v>716</v>
      </c>
      <c r="G356" s="3" t="s">
        <v>443</v>
      </c>
      <c r="H356" s="3" t="s">
        <v>443</v>
      </c>
      <c r="I356" s="3" t="s">
        <v>443</v>
      </c>
      <c r="J356" s="3" t="s">
        <v>443</v>
      </c>
      <c r="K356" s="3" t="s">
        <v>443</v>
      </c>
      <c r="L356" s="3" t="s">
        <v>443</v>
      </c>
      <c r="M356" s="3" t="s">
        <v>443</v>
      </c>
      <c r="N356" s="3" t="s">
        <v>443</v>
      </c>
      <c r="O356" s="5">
        <v>71.099999999999994</v>
      </c>
      <c r="P356" s="5">
        <v>0</v>
      </c>
      <c r="Q356" s="5">
        <v>0</v>
      </c>
      <c r="R356" s="5">
        <v>11.5</v>
      </c>
      <c r="S356" s="5">
        <v>24.5</v>
      </c>
      <c r="T356" s="5">
        <v>18.600000000000001</v>
      </c>
      <c r="U356" s="5">
        <v>38.200000000000003</v>
      </c>
      <c r="V356" s="5" t="s">
        <v>443</v>
      </c>
      <c r="W356" s="5">
        <f t="shared" si="13"/>
        <v>38.200000000000003</v>
      </c>
      <c r="X356" s="3" t="s">
        <v>443</v>
      </c>
      <c r="Y356" t="s">
        <v>1347</v>
      </c>
      <c r="Z356" s="4">
        <v>42186</v>
      </c>
      <c r="AA356" t="s">
        <v>556</v>
      </c>
      <c r="AB356" t="s">
        <v>570</v>
      </c>
      <c r="AC356" t="s">
        <v>1308</v>
      </c>
      <c r="AD356" t="s">
        <v>867</v>
      </c>
      <c r="AE356" t="s">
        <v>1364</v>
      </c>
      <c r="AF356" t="s">
        <v>1378</v>
      </c>
      <c r="AG356" s="6" t="s">
        <v>443</v>
      </c>
      <c r="AH356" s="2" t="s">
        <v>857</v>
      </c>
      <c r="AI356" s="5" t="s">
        <v>443</v>
      </c>
      <c r="AJ356" s="5">
        <v>6.8</v>
      </c>
      <c r="AK356" s="5" t="s">
        <v>443</v>
      </c>
      <c r="AL356" s="5">
        <v>9.3000000000000007</v>
      </c>
      <c r="AM356" s="5">
        <v>14</v>
      </c>
      <c r="AN356" s="5">
        <v>5.4</v>
      </c>
      <c r="AO356" s="5" t="s">
        <v>443</v>
      </c>
      <c r="AP356" s="2">
        <v>3.93</v>
      </c>
      <c r="AQ356" s="5" t="s">
        <v>443</v>
      </c>
      <c r="AR356" s="2" t="s">
        <v>1370</v>
      </c>
      <c r="AS356" t="s">
        <v>1316</v>
      </c>
    </row>
    <row r="357" spans="1:46" x14ac:dyDescent="0.35">
      <c r="A357" t="s">
        <v>571</v>
      </c>
      <c r="B357" t="s">
        <v>571</v>
      </c>
      <c r="C357" t="s">
        <v>1036</v>
      </c>
      <c r="D357" s="2" t="s">
        <v>594</v>
      </c>
      <c r="E357" s="2" t="s">
        <v>554</v>
      </c>
      <c r="F357" s="2" t="s">
        <v>717</v>
      </c>
      <c r="G357" s="3">
        <v>16576</v>
      </c>
      <c r="H357" s="3">
        <v>5011</v>
      </c>
      <c r="I357" s="3">
        <v>95</v>
      </c>
      <c r="J357" s="3">
        <v>993</v>
      </c>
      <c r="K357" s="3">
        <v>11115</v>
      </c>
      <c r="L357" s="3">
        <v>29610</v>
      </c>
      <c r="M357" s="3">
        <v>277</v>
      </c>
      <c r="N357" s="3">
        <v>13</v>
      </c>
      <c r="O357" s="5">
        <v>77.099999999999994</v>
      </c>
      <c r="P357" s="5">
        <v>13.7</v>
      </c>
      <c r="Q357" s="5">
        <v>0.5</v>
      </c>
      <c r="R357" s="5">
        <v>8.6999999999999993</v>
      </c>
      <c r="S357" s="5">
        <v>33.5</v>
      </c>
      <c r="T357" s="5">
        <v>65.900000000000006</v>
      </c>
      <c r="U357" s="5">
        <v>0.5</v>
      </c>
      <c r="V357" s="5">
        <v>0</v>
      </c>
      <c r="W357" s="5">
        <f t="shared" si="13"/>
        <v>0.5</v>
      </c>
      <c r="X357" s="3">
        <v>3.3886608147724609E-2</v>
      </c>
      <c r="Y357" t="s">
        <v>1348</v>
      </c>
      <c r="Z357" s="4">
        <v>42186</v>
      </c>
      <c r="AA357" t="s">
        <v>556</v>
      </c>
      <c r="AB357" t="s">
        <v>572</v>
      </c>
      <c r="AC357" t="s">
        <v>1308</v>
      </c>
      <c r="AD357" t="s">
        <v>868</v>
      </c>
      <c r="AE357" t="s">
        <v>1364</v>
      </c>
      <c r="AF357" t="s">
        <v>1378</v>
      </c>
      <c r="AG357" s="6" t="s">
        <v>443</v>
      </c>
      <c r="AH357" s="2" t="s">
        <v>857</v>
      </c>
      <c r="AI357" s="5" t="s">
        <v>443</v>
      </c>
      <c r="AJ357" s="5">
        <v>42.2</v>
      </c>
      <c r="AK357" s="5" t="s">
        <v>443</v>
      </c>
      <c r="AL357" s="5">
        <v>8.9</v>
      </c>
      <c r="AM357" s="5" t="s">
        <v>443</v>
      </c>
      <c r="AN357" s="5" t="s">
        <v>443</v>
      </c>
      <c r="AO357" s="5" t="s">
        <v>443</v>
      </c>
      <c r="AP357" s="5" t="s">
        <v>443</v>
      </c>
      <c r="AQ357" s="5" t="s">
        <v>443</v>
      </c>
      <c r="AR357" s="2" t="s">
        <v>1370</v>
      </c>
      <c r="AS357" t="s">
        <v>1318</v>
      </c>
    </row>
    <row r="358" spans="1:46" x14ac:dyDescent="0.35">
      <c r="A358" t="s">
        <v>573</v>
      </c>
      <c r="B358" t="s">
        <v>573</v>
      </c>
      <c r="C358" t="s">
        <v>1035</v>
      </c>
      <c r="D358" s="2" t="s">
        <v>594</v>
      </c>
      <c r="E358" s="2" t="s">
        <v>554</v>
      </c>
      <c r="F358" s="2" t="s">
        <v>716</v>
      </c>
      <c r="G358" s="25">
        <v>1387</v>
      </c>
      <c r="H358" s="25">
        <v>297</v>
      </c>
      <c r="I358" s="25">
        <v>148</v>
      </c>
      <c r="J358" s="26">
        <v>108</v>
      </c>
      <c r="K358" s="26">
        <v>972</v>
      </c>
      <c r="L358" s="26">
        <v>52</v>
      </c>
      <c r="M358" s="26">
        <v>2057</v>
      </c>
      <c r="N358" s="25">
        <v>1294</v>
      </c>
      <c r="O358" s="5">
        <v>71.651003701361148</v>
      </c>
      <c r="P358" s="5">
        <v>9.0212035175553229</v>
      </c>
      <c r="Q358" s="5">
        <v>8.7709934533944125</v>
      </c>
      <c r="R358" s="5">
        <v>10.556799327689131</v>
      </c>
      <c r="S358" s="5">
        <v>26.027681551687287</v>
      </c>
      <c r="T358" s="5">
        <v>1.027723331619306</v>
      </c>
      <c r="U358" s="5">
        <v>31.999820890237125</v>
      </c>
      <c r="V358" s="5">
        <v>40.944774226456275</v>
      </c>
      <c r="W358" s="5">
        <f t="shared" si="13"/>
        <v>72.944595116693392</v>
      </c>
      <c r="X358" s="3">
        <v>-11.155377272773153</v>
      </c>
      <c r="Y358" t="s">
        <v>1349</v>
      </c>
      <c r="Z358" s="4">
        <v>42186</v>
      </c>
      <c r="AA358" t="s">
        <v>556</v>
      </c>
      <c r="AB358" t="s">
        <v>574</v>
      </c>
      <c r="AC358" t="s">
        <v>1308</v>
      </c>
      <c r="AD358" t="s">
        <v>869</v>
      </c>
      <c r="AE358" t="s">
        <v>1364</v>
      </c>
      <c r="AF358" t="s">
        <v>1378</v>
      </c>
      <c r="AG358" s="6" t="s">
        <v>443</v>
      </c>
      <c r="AH358" s="2" t="s">
        <v>857</v>
      </c>
      <c r="AI358" s="5" t="s">
        <v>443</v>
      </c>
      <c r="AJ358" s="5">
        <v>4.9000000000000004</v>
      </c>
      <c r="AK358" s="5" t="s">
        <v>443</v>
      </c>
      <c r="AL358" s="5">
        <v>9.4</v>
      </c>
      <c r="AM358" s="5">
        <v>15.3</v>
      </c>
      <c r="AN358" s="5">
        <v>6.2</v>
      </c>
      <c r="AO358" s="5" t="s">
        <v>443</v>
      </c>
      <c r="AP358" s="2">
        <v>52.55</v>
      </c>
      <c r="AQ358" s="5" t="s">
        <v>443</v>
      </c>
      <c r="AR358" s="2" t="s">
        <v>1370</v>
      </c>
      <c r="AS358" t="s">
        <v>1316</v>
      </c>
    </row>
    <row r="359" spans="1:46" x14ac:dyDescent="0.35">
      <c r="A359" t="s">
        <v>575</v>
      </c>
      <c r="B359" t="s">
        <v>575</v>
      </c>
      <c r="C359" t="s">
        <v>1035</v>
      </c>
      <c r="D359" s="2" t="s">
        <v>594</v>
      </c>
      <c r="E359" s="2" t="s">
        <v>554</v>
      </c>
      <c r="F359" s="2" t="s">
        <v>716</v>
      </c>
      <c r="G359" s="3">
        <v>770</v>
      </c>
      <c r="H359" s="3">
        <v>0</v>
      </c>
      <c r="I359" s="3">
        <v>10</v>
      </c>
      <c r="J359" s="3">
        <v>90</v>
      </c>
      <c r="K359" s="3">
        <v>80</v>
      </c>
      <c r="L359" s="3">
        <v>270</v>
      </c>
      <c r="M359" s="3">
        <v>1330</v>
      </c>
      <c r="N359" s="3">
        <v>310</v>
      </c>
      <c r="O359" s="5">
        <v>80.900000000000006</v>
      </c>
      <c r="P359" s="5">
        <v>0</v>
      </c>
      <c r="Q359" s="5">
        <v>1.2</v>
      </c>
      <c r="R359" s="5">
        <v>17.899999999999999</v>
      </c>
      <c r="S359" s="5">
        <v>5.6</v>
      </c>
      <c r="T359" s="5">
        <v>14.1</v>
      </c>
      <c r="U359" s="5">
        <v>54.5</v>
      </c>
      <c r="V359" s="5">
        <v>25.8</v>
      </c>
      <c r="W359" s="5">
        <f t="shared" si="13"/>
        <v>80.3</v>
      </c>
      <c r="X359" s="3">
        <v>1.7094137501542712</v>
      </c>
      <c r="Y359" t="s">
        <v>1356</v>
      </c>
      <c r="Z359" s="4">
        <v>42186</v>
      </c>
      <c r="AA359" t="s">
        <v>556</v>
      </c>
      <c r="AB359" t="s">
        <v>576</v>
      </c>
      <c r="AC359" t="s">
        <v>1308</v>
      </c>
      <c r="AD359" t="s">
        <v>870</v>
      </c>
      <c r="AE359" t="s">
        <v>1364</v>
      </c>
      <c r="AF359" t="s">
        <v>1378</v>
      </c>
      <c r="AG359" s="6" t="s">
        <v>443</v>
      </c>
      <c r="AH359" s="2" t="s">
        <v>857</v>
      </c>
      <c r="AI359" s="5" t="s">
        <v>443</v>
      </c>
      <c r="AJ359" s="5">
        <v>0.9</v>
      </c>
      <c r="AK359" s="5" t="s">
        <v>443</v>
      </c>
      <c r="AL359" s="5">
        <v>8.6999999999999993</v>
      </c>
      <c r="AM359" s="5" t="s">
        <v>443</v>
      </c>
      <c r="AN359" s="5" t="s">
        <v>443</v>
      </c>
      <c r="AO359" s="5" t="s">
        <v>443</v>
      </c>
      <c r="AP359" s="5" t="s">
        <v>443</v>
      </c>
      <c r="AQ359" s="5" t="s">
        <v>443</v>
      </c>
      <c r="AR359" s="2" t="s">
        <v>1370</v>
      </c>
      <c r="AS359" t="s">
        <v>1319</v>
      </c>
      <c r="AT359" t="s">
        <v>935</v>
      </c>
    </row>
    <row r="360" spans="1:46" x14ac:dyDescent="0.35">
      <c r="A360" t="s">
        <v>577</v>
      </c>
      <c r="B360" t="s">
        <v>577</v>
      </c>
      <c r="C360" t="s">
        <v>1047</v>
      </c>
      <c r="D360" s="2" t="s">
        <v>594</v>
      </c>
      <c r="E360" s="2" t="s">
        <v>554</v>
      </c>
      <c r="F360" s="2" t="s">
        <v>718</v>
      </c>
      <c r="G360" s="3">
        <v>2881</v>
      </c>
      <c r="H360" s="3">
        <v>357</v>
      </c>
      <c r="I360" s="3">
        <v>76</v>
      </c>
      <c r="J360" s="3">
        <v>242</v>
      </c>
      <c r="K360" s="3">
        <v>861</v>
      </c>
      <c r="L360" s="3">
        <v>3997</v>
      </c>
      <c r="M360" s="3">
        <v>2176</v>
      </c>
      <c r="N360" s="3">
        <v>445</v>
      </c>
      <c r="O360" s="5">
        <v>79.2</v>
      </c>
      <c r="P360" s="5">
        <v>5.8</v>
      </c>
      <c r="Q360" s="5">
        <v>2.4</v>
      </c>
      <c r="R360" s="5">
        <v>12.6</v>
      </c>
      <c r="S360" s="5">
        <v>15.4</v>
      </c>
      <c r="T360" s="5">
        <v>52.7</v>
      </c>
      <c r="U360" s="5">
        <v>22.6</v>
      </c>
      <c r="V360" s="5">
        <v>9.4</v>
      </c>
      <c r="W360" s="5">
        <f t="shared" si="13"/>
        <v>32</v>
      </c>
      <c r="X360" s="3">
        <v>4.9208782415013239E-2</v>
      </c>
      <c r="Y360" t="s">
        <v>1342</v>
      </c>
      <c r="Z360" s="4">
        <v>42186</v>
      </c>
      <c r="AA360" t="s">
        <v>556</v>
      </c>
      <c r="AB360" t="s">
        <v>578</v>
      </c>
      <c r="AC360" t="s">
        <v>1308</v>
      </c>
      <c r="AD360" t="s">
        <v>871</v>
      </c>
      <c r="AE360" t="s">
        <v>1364</v>
      </c>
      <c r="AF360" t="s">
        <v>1378</v>
      </c>
      <c r="AG360" s="6" t="s">
        <v>443</v>
      </c>
      <c r="AH360" s="2" t="s">
        <v>857</v>
      </c>
      <c r="AI360" s="5" t="s">
        <v>443</v>
      </c>
      <c r="AJ360" s="5">
        <v>8.6</v>
      </c>
      <c r="AK360" s="5" t="s">
        <v>443</v>
      </c>
      <c r="AL360" s="5">
        <v>9.8000000000000007</v>
      </c>
      <c r="AM360" s="5">
        <v>15.5</v>
      </c>
      <c r="AN360" s="5">
        <v>5.2</v>
      </c>
      <c r="AO360" s="5" t="s">
        <v>443</v>
      </c>
      <c r="AP360" s="2">
        <v>12.96</v>
      </c>
      <c r="AQ360" s="5" t="s">
        <v>443</v>
      </c>
      <c r="AR360" s="2" t="s">
        <v>1370</v>
      </c>
      <c r="AS360" t="s">
        <v>1316</v>
      </c>
    </row>
    <row r="361" spans="1:46" x14ac:dyDescent="0.35">
      <c r="A361" t="s">
        <v>579</v>
      </c>
      <c r="B361" t="s">
        <v>579</v>
      </c>
      <c r="C361" t="s">
        <v>1036</v>
      </c>
      <c r="D361" s="2" t="s">
        <v>594</v>
      </c>
      <c r="E361" s="2" t="s">
        <v>554</v>
      </c>
      <c r="F361" s="2" t="s">
        <v>717</v>
      </c>
      <c r="G361" s="3">
        <v>5550</v>
      </c>
      <c r="H361" s="3">
        <v>580</v>
      </c>
      <c r="I361" s="3">
        <v>0</v>
      </c>
      <c r="J361" s="3">
        <v>260</v>
      </c>
      <c r="K361" s="3">
        <v>3390</v>
      </c>
      <c r="L361" s="3">
        <v>6980</v>
      </c>
      <c r="M361" s="3">
        <v>1440</v>
      </c>
      <c r="N361" s="3">
        <v>410</v>
      </c>
      <c r="O361" s="5">
        <v>86.9</v>
      </c>
      <c r="P361" s="5">
        <v>5.3</v>
      </c>
      <c r="Q361" s="5">
        <v>0</v>
      </c>
      <c r="R361" s="5">
        <v>7.7</v>
      </c>
      <c r="S361" s="5">
        <v>34.4</v>
      </c>
      <c r="T361" s="5">
        <v>52.2</v>
      </c>
      <c r="U361" s="5">
        <v>8.5</v>
      </c>
      <c r="V361" s="5">
        <v>4.9000000000000004</v>
      </c>
      <c r="W361" s="5">
        <f t="shared" si="13"/>
        <v>13.4</v>
      </c>
      <c r="X361" s="3">
        <v>-0.10375330354363384</v>
      </c>
      <c r="Y361" t="s">
        <v>1350</v>
      </c>
      <c r="Z361" s="4">
        <v>42186</v>
      </c>
      <c r="AA361" t="s">
        <v>556</v>
      </c>
      <c r="AB361" t="s">
        <v>580</v>
      </c>
      <c r="AC361" t="s">
        <v>1308</v>
      </c>
      <c r="AD361" t="s">
        <v>872</v>
      </c>
      <c r="AE361" t="s">
        <v>1364</v>
      </c>
      <c r="AF361" t="s">
        <v>1378</v>
      </c>
      <c r="AG361" s="6" t="s">
        <v>443</v>
      </c>
      <c r="AH361" s="2" t="s">
        <v>857</v>
      </c>
      <c r="AI361" s="5" t="s">
        <v>443</v>
      </c>
      <c r="AJ361" s="5">
        <v>7.8</v>
      </c>
      <c r="AK361" s="5" t="s">
        <v>443</v>
      </c>
      <c r="AL361" s="5">
        <v>9.4</v>
      </c>
      <c r="AM361" s="5">
        <v>13.5</v>
      </c>
      <c r="AN361" s="5">
        <v>5.0999999999999996</v>
      </c>
      <c r="AO361" s="5" t="s">
        <v>443</v>
      </c>
      <c r="AP361" s="2">
        <v>6.65</v>
      </c>
      <c r="AQ361" s="5" t="s">
        <v>443</v>
      </c>
      <c r="AR361" s="2" t="s">
        <v>1370</v>
      </c>
      <c r="AS361" t="s">
        <v>1316</v>
      </c>
    </row>
    <row r="362" spans="1:46" x14ac:dyDescent="0.35">
      <c r="A362" t="s">
        <v>581</v>
      </c>
      <c r="B362" t="s">
        <v>581</v>
      </c>
      <c r="C362" t="s">
        <v>1036</v>
      </c>
      <c r="D362" s="2" t="s">
        <v>594</v>
      </c>
      <c r="E362" s="2" t="s">
        <v>554</v>
      </c>
      <c r="F362" s="2" t="s">
        <v>717</v>
      </c>
      <c r="G362" s="3">
        <v>3970</v>
      </c>
      <c r="H362" s="3">
        <v>353</v>
      </c>
      <c r="I362" s="3">
        <v>57</v>
      </c>
      <c r="J362" s="3">
        <v>231</v>
      </c>
      <c r="K362" s="3">
        <v>1219</v>
      </c>
      <c r="L362" s="3">
        <v>7567</v>
      </c>
      <c r="M362" s="3">
        <v>396</v>
      </c>
      <c r="N362" s="3">
        <v>147</v>
      </c>
      <c r="O362" s="5">
        <v>84.8</v>
      </c>
      <c r="P362" s="5">
        <v>4.4000000000000004</v>
      </c>
      <c r="Q362" s="5">
        <v>1.4</v>
      </c>
      <c r="R362" s="5">
        <v>9.3000000000000007</v>
      </c>
      <c r="S362" s="5">
        <v>16.899999999999999</v>
      </c>
      <c r="T362" s="5">
        <v>77.5</v>
      </c>
      <c r="U362" s="5">
        <v>3.2</v>
      </c>
      <c r="V362" s="5">
        <v>2.4</v>
      </c>
      <c r="W362" s="5">
        <f t="shared" si="13"/>
        <v>5.6</v>
      </c>
      <c r="X362" s="3">
        <v>6.0228270530553879E-2</v>
      </c>
      <c r="Y362" t="s">
        <v>1342</v>
      </c>
      <c r="Z362" s="4">
        <v>42186</v>
      </c>
      <c r="AA362" t="s">
        <v>556</v>
      </c>
      <c r="AB362" t="s">
        <v>582</v>
      </c>
      <c r="AC362" t="s">
        <v>1308</v>
      </c>
      <c r="AD362" t="s">
        <v>873</v>
      </c>
      <c r="AE362" t="s">
        <v>1364</v>
      </c>
      <c r="AF362" t="s">
        <v>1378</v>
      </c>
      <c r="AG362" s="6" t="s">
        <v>443</v>
      </c>
      <c r="AH362" s="2" t="s">
        <v>857</v>
      </c>
      <c r="AI362" s="5" t="s">
        <v>443</v>
      </c>
      <c r="AJ362" s="5">
        <v>10.1</v>
      </c>
      <c r="AK362" s="5" t="s">
        <v>443</v>
      </c>
      <c r="AL362" s="5">
        <v>9.5</v>
      </c>
      <c r="AM362" s="5">
        <v>14.2</v>
      </c>
      <c r="AN362" s="5">
        <v>6</v>
      </c>
      <c r="AO362" s="5" t="s">
        <v>443</v>
      </c>
      <c r="AP362" s="2">
        <v>8.7799999999999994</v>
      </c>
      <c r="AQ362" s="5" t="s">
        <v>443</v>
      </c>
      <c r="AR362" s="2" t="s">
        <v>1370</v>
      </c>
      <c r="AS362" t="s">
        <v>1316</v>
      </c>
    </row>
    <row r="363" spans="1:46" x14ac:dyDescent="0.35">
      <c r="A363" t="s">
        <v>583</v>
      </c>
      <c r="B363" t="s">
        <v>583</v>
      </c>
      <c r="C363" t="s">
        <v>1036</v>
      </c>
      <c r="D363" s="2" t="s">
        <v>594</v>
      </c>
      <c r="E363" s="2" t="s">
        <v>554</v>
      </c>
      <c r="F363" s="2" t="s">
        <v>717</v>
      </c>
      <c r="G363" s="3">
        <v>5170</v>
      </c>
      <c r="H363" s="3">
        <v>1006</v>
      </c>
      <c r="I363" s="3">
        <v>57</v>
      </c>
      <c r="J363" s="3">
        <v>358</v>
      </c>
      <c r="K363" s="3">
        <v>2151</v>
      </c>
      <c r="L363" s="3">
        <v>9870</v>
      </c>
      <c r="M363" s="3">
        <v>580</v>
      </c>
      <c r="N363" s="3">
        <v>208</v>
      </c>
      <c r="O363" s="5">
        <v>79.5</v>
      </c>
      <c r="P363" s="5">
        <v>9.1</v>
      </c>
      <c r="Q363" s="5">
        <v>1</v>
      </c>
      <c r="R363" s="5">
        <v>10.4</v>
      </c>
      <c r="S363" s="5">
        <v>21.5</v>
      </c>
      <c r="T363" s="5">
        <v>72.7</v>
      </c>
      <c r="U363" s="5">
        <v>3.4</v>
      </c>
      <c r="V363" s="5">
        <v>2.5</v>
      </c>
      <c r="W363" s="5">
        <f t="shared" si="13"/>
        <v>5.9</v>
      </c>
      <c r="X363" s="3">
        <v>5.4219316783066324E-2</v>
      </c>
      <c r="Y363" t="s">
        <v>1342</v>
      </c>
      <c r="Z363" s="4">
        <v>42186</v>
      </c>
      <c r="AA363" t="s">
        <v>556</v>
      </c>
      <c r="AB363" t="s">
        <v>584</v>
      </c>
      <c r="AC363" t="s">
        <v>1308</v>
      </c>
      <c r="AD363" t="s">
        <v>874</v>
      </c>
      <c r="AE363" t="s">
        <v>1364</v>
      </c>
      <c r="AF363" t="s">
        <v>1378</v>
      </c>
      <c r="AG363" s="6" t="s">
        <v>443</v>
      </c>
      <c r="AH363" s="2" t="s">
        <v>857</v>
      </c>
      <c r="AI363" s="5" t="s">
        <v>443</v>
      </c>
      <c r="AJ363" s="5">
        <v>13</v>
      </c>
      <c r="AK363" s="5" t="s">
        <v>443</v>
      </c>
      <c r="AL363" s="5">
        <v>9.4</v>
      </c>
      <c r="AM363" s="5">
        <v>18.100000000000001</v>
      </c>
      <c r="AN363" s="5">
        <v>6</v>
      </c>
      <c r="AO363" s="5" t="s">
        <v>443</v>
      </c>
      <c r="AP363" s="2">
        <v>15.14</v>
      </c>
      <c r="AQ363" s="5" t="s">
        <v>443</v>
      </c>
      <c r="AR363" s="2" t="s">
        <v>1370</v>
      </c>
      <c r="AS363" t="s">
        <v>1316</v>
      </c>
    </row>
    <row r="364" spans="1:46" x14ac:dyDescent="0.35">
      <c r="A364" t="s">
        <v>630</v>
      </c>
      <c r="B364" t="s">
        <v>630</v>
      </c>
      <c r="C364" t="s">
        <v>1036</v>
      </c>
      <c r="D364" s="2" t="s">
        <v>594</v>
      </c>
      <c r="E364" s="2" t="s">
        <v>554</v>
      </c>
      <c r="F364" s="2" t="s">
        <v>717</v>
      </c>
      <c r="G364" s="3">
        <v>8288</v>
      </c>
      <c r="H364" s="3">
        <v>1252</v>
      </c>
      <c r="I364" s="3">
        <v>57</v>
      </c>
      <c r="J364" s="3">
        <v>346</v>
      </c>
      <c r="K364" s="3">
        <v>6310</v>
      </c>
      <c r="L364" s="3">
        <v>11284</v>
      </c>
      <c r="M364" s="3">
        <v>400</v>
      </c>
      <c r="N364" s="3">
        <v>125</v>
      </c>
      <c r="O364" s="5">
        <v>85.1</v>
      </c>
      <c r="P364" s="5">
        <v>7.6</v>
      </c>
      <c r="Q364" s="5">
        <v>0.7</v>
      </c>
      <c r="R364" s="5">
        <v>6.7</v>
      </c>
      <c r="S364" s="5">
        <v>42</v>
      </c>
      <c r="T364" s="5">
        <v>55.5</v>
      </c>
      <c r="U364" s="5">
        <v>1.5</v>
      </c>
      <c r="V364" s="5">
        <v>1</v>
      </c>
      <c r="W364" s="5">
        <f t="shared" si="13"/>
        <v>2.5</v>
      </c>
      <c r="X364" s="3">
        <v>2.2552574828220415E-2</v>
      </c>
      <c r="Y364" t="s">
        <v>1342</v>
      </c>
      <c r="Z364" s="4">
        <v>42186</v>
      </c>
      <c r="AA364" t="s">
        <v>556</v>
      </c>
      <c r="AB364" t="s">
        <v>585</v>
      </c>
      <c r="AC364" t="s">
        <v>1308</v>
      </c>
      <c r="AD364" t="s">
        <v>875</v>
      </c>
      <c r="AE364" t="s">
        <v>1364</v>
      </c>
      <c r="AF364" t="s">
        <v>1378</v>
      </c>
      <c r="AG364" s="6" t="s">
        <v>443</v>
      </c>
      <c r="AH364" s="2" t="s">
        <v>857</v>
      </c>
      <c r="AI364" s="5" t="s">
        <v>443</v>
      </c>
      <c r="AJ364" s="5">
        <v>56.9</v>
      </c>
      <c r="AK364" s="5" t="s">
        <v>443</v>
      </c>
      <c r="AL364" s="5">
        <v>9.5</v>
      </c>
      <c r="AM364" s="5">
        <v>15.9</v>
      </c>
      <c r="AN364" s="5">
        <v>2.4</v>
      </c>
      <c r="AO364" s="5" t="s">
        <v>443</v>
      </c>
      <c r="AP364" s="2">
        <v>66.69</v>
      </c>
      <c r="AQ364" s="5" t="s">
        <v>443</v>
      </c>
      <c r="AR364" s="2" t="s">
        <v>1370</v>
      </c>
      <c r="AS364" t="s">
        <v>1316</v>
      </c>
    </row>
    <row r="365" spans="1:46" x14ac:dyDescent="0.35">
      <c r="A365" t="s">
        <v>631</v>
      </c>
      <c r="B365" t="s">
        <v>631</v>
      </c>
      <c r="C365" t="s">
        <v>1036</v>
      </c>
      <c r="D365" s="2" t="s">
        <v>594</v>
      </c>
      <c r="E365" s="2" t="s">
        <v>554</v>
      </c>
      <c r="F365" s="2" t="s">
        <v>717</v>
      </c>
      <c r="G365" s="3">
        <v>54000</v>
      </c>
      <c r="H365" s="3">
        <v>7000</v>
      </c>
      <c r="I365" s="3">
        <v>0</v>
      </c>
      <c r="J365" s="3">
        <v>0</v>
      </c>
      <c r="K365" s="3">
        <v>68000</v>
      </c>
      <c r="L365" s="3">
        <v>7000</v>
      </c>
      <c r="M365" s="3">
        <v>0</v>
      </c>
      <c r="N365" s="3">
        <v>11000</v>
      </c>
      <c r="O365" s="5">
        <v>92.917842038788379</v>
      </c>
      <c r="P365" s="5">
        <v>7.0821579612116183</v>
      </c>
      <c r="Q365" s="5">
        <v>0</v>
      </c>
      <c r="R365" s="5">
        <v>0</v>
      </c>
      <c r="S365" s="5">
        <v>78.918449666768751</v>
      </c>
      <c r="T365" s="5">
        <v>5.9961339373702298</v>
      </c>
      <c r="U365" s="5">
        <v>0</v>
      </c>
      <c r="V365" s="5">
        <v>15.085416395861017</v>
      </c>
      <c r="W365" s="5">
        <f t="shared" si="13"/>
        <v>15.085416395861017</v>
      </c>
      <c r="X365" s="3">
        <v>1.9617287135230816</v>
      </c>
      <c r="Y365" t="s">
        <v>1345</v>
      </c>
      <c r="Z365" s="4">
        <v>42186</v>
      </c>
      <c r="AA365" t="s">
        <v>556</v>
      </c>
      <c r="AB365" t="s">
        <v>586</v>
      </c>
      <c r="AC365" t="s">
        <v>1308</v>
      </c>
      <c r="AD365" t="s">
        <v>876</v>
      </c>
      <c r="AE365" t="s">
        <v>1364</v>
      </c>
      <c r="AF365" t="s">
        <v>1378</v>
      </c>
      <c r="AG365" s="6" t="s">
        <v>443</v>
      </c>
      <c r="AH365" s="2" t="s">
        <v>857</v>
      </c>
      <c r="AI365" s="5" t="s">
        <v>443</v>
      </c>
      <c r="AJ365" s="5">
        <v>118.1</v>
      </c>
      <c r="AK365" s="5" t="s">
        <v>443</v>
      </c>
      <c r="AL365" s="5" t="s">
        <v>443</v>
      </c>
      <c r="AM365" s="5" t="s">
        <v>443</v>
      </c>
      <c r="AN365" s="5" t="s">
        <v>443</v>
      </c>
      <c r="AO365" s="5" t="s">
        <v>443</v>
      </c>
      <c r="AP365" s="2" t="s">
        <v>443</v>
      </c>
      <c r="AQ365" s="5" t="s">
        <v>443</v>
      </c>
      <c r="AR365" s="2" t="s">
        <v>1370</v>
      </c>
      <c r="AS365" t="s">
        <v>1308</v>
      </c>
    </row>
    <row r="366" spans="1:46" x14ac:dyDescent="0.35">
      <c r="A366" t="s">
        <v>633</v>
      </c>
      <c r="B366" t="s">
        <v>633</v>
      </c>
      <c r="C366" t="s">
        <v>1036</v>
      </c>
      <c r="D366" s="2" t="s">
        <v>594</v>
      </c>
      <c r="E366" s="2" t="s">
        <v>554</v>
      </c>
      <c r="F366" s="2" t="s">
        <v>717</v>
      </c>
      <c r="G366" s="3">
        <v>40000</v>
      </c>
      <c r="H366" s="3">
        <v>17000</v>
      </c>
      <c r="I366" s="3">
        <v>0</v>
      </c>
      <c r="J366" s="3">
        <v>16000</v>
      </c>
      <c r="K366" s="3">
        <v>92000</v>
      </c>
      <c r="L366" s="3">
        <v>43000</v>
      </c>
      <c r="M366" s="3">
        <v>0</v>
      </c>
      <c r="N366" s="3">
        <v>0</v>
      </c>
      <c r="O366" s="5">
        <v>49.831476615248896</v>
      </c>
      <c r="P366" s="5">
        <v>12.45245268896274</v>
      </c>
      <c r="Q366" s="5">
        <v>0</v>
      </c>
      <c r="R366" s="5">
        <v>37.716070695788382</v>
      </c>
      <c r="S366" s="5">
        <v>74.350971124545907</v>
      </c>
      <c r="T366" s="5">
        <v>25.649028875454093</v>
      </c>
      <c r="U366" s="5">
        <v>0</v>
      </c>
      <c r="V366" s="5">
        <v>0</v>
      </c>
      <c r="W366" s="5">
        <v>0</v>
      </c>
      <c r="X366" s="3">
        <v>0</v>
      </c>
      <c r="Y366" t="s">
        <v>1345</v>
      </c>
      <c r="Z366" s="4">
        <v>42186</v>
      </c>
      <c r="AA366" t="s">
        <v>556</v>
      </c>
      <c r="AB366" t="s">
        <v>587</v>
      </c>
      <c r="AC366" t="s">
        <v>1308</v>
      </c>
      <c r="AD366" t="s">
        <v>877</v>
      </c>
      <c r="AE366" t="s">
        <v>1364</v>
      </c>
      <c r="AF366" t="s">
        <v>1378</v>
      </c>
      <c r="AG366" s="6" t="s">
        <v>443</v>
      </c>
      <c r="AH366" s="2" t="s">
        <v>857</v>
      </c>
      <c r="AI366" s="5" t="s">
        <v>443</v>
      </c>
      <c r="AJ366" s="5">
        <v>109.4</v>
      </c>
      <c r="AK366" s="5" t="s">
        <v>443</v>
      </c>
      <c r="AL366" s="5">
        <v>8.1</v>
      </c>
      <c r="AM366" s="5" t="s">
        <v>443</v>
      </c>
      <c r="AN366" s="5" t="s">
        <v>443</v>
      </c>
      <c r="AO366" s="5" t="s">
        <v>443</v>
      </c>
      <c r="AP366" s="2" t="s">
        <v>443</v>
      </c>
      <c r="AQ366" s="5" t="s">
        <v>443</v>
      </c>
      <c r="AR366" s="2" t="s">
        <v>1370</v>
      </c>
      <c r="AS366" t="s">
        <v>1320</v>
      </c>
      <c r="AT366" t="s">
        <v>936</v>
      </c>
    </row>
    <row r="367" spans="1:46" x14ac:dyDescent="0.35">
      <c r="A367" t="s">
        <v>394</v>
      </c>
      <c r="B367" t="s">
        <v>391</v>
      </c>
      <c r="C367" t="s">
        <v>1035</v>
      </c>
      <c r="D367" s="2" t="s">
        <v>595</v>
      </c>
      <c r="E367" s="2" t="s">
        <v>385</v>
      </c>
      <c r="F367" s="2" t="s">
        <v>716</v>
      </c>
      <c r="G367" s="3">
        <v>11548</v>
      </c>
      <c r="H367" s="3">
        <v>359.8</v>
      </c>
      <c r="I367" s="3">
        <v>3.5</v>
      </c>
      <c r="J367" s="3">
        <v>46.3</v>
      </c>
      <c r="K367" s="3">
        <v>1235</v>
      </c>
      <c r="L367" s="3">
        <v>1326</v>
      </c>
      <c r="M367" s="3">
        <v>16433</v>
      </c>
      <c r="N367" s="3">
        <v>5167</v>
      </c>
      <c r="O367" s="5">
        <v>97.4</v>
      </c>
      <c r="P367" s="5">
        <v>1.8</v>
      </c>
      <c r="Q367" s="5">
        <v>0</v>
      </c>
      <c r="R367" s="5">
        <v>0.7</v>
      </c>
      <c r="S367" s="5">
        <v>6.9</v>
      </c>
      <c r="T367" s="5">
        <v>5.5</v>
      </c>
      <c r="U367" s="5">
        <v>53.4</v>
      </c>
      <c r="V367" s="5">
        <v>34.200000000000003</v>
      </c>
      <c r="W367" s="5">
        <f t="shared" ref="W367:W373" si="14">SUM(U367:V367)</f>
        <v>87.6</v>
      </c>
      <c r="X367" s="3">
        <v>1.1288852030141123</v>
      </c>
      <c r="Y367" t="s">
        <v>1327</v>
      </c>
      <c r="Z367" s="4">
        <v>42507</v>
      </c>
      <c r="AA367" t="s">
        <v>1362</v>
      </c>
      <c r="AB367" t="s">
        <v>392</v>
      </c>
      <c r="AC367" t="s">
        <v>1327</v>
      </c>
      <c r="AD367" t="s">
        <v>883</v>
      </c>
      <c r="AE367" t="s">
        <v>1364</v>
      </c>
      <c r="AF367" t="s">
        <v>1376</v>
      </c>
      <c r="AG367" s="6" t="s">
        <v>443</v>
      </c>
      <c r="AH367" s="2">
        <v>0.05</v>
      </c>
      <c r="AI367" s="5">
        <v>33.1</v>
      </c>
      <c r="AJ367" s="6" t="s">
        <v>443</v>
      </c>
      <c r="AK367" s="5">
        <v>36.1</v>
      </c>
      <c r="AL367" s="5">
        <v>10.1</v>
      </c>
      <c r="AM367" s="6" t="s">
        <v>443</v>
      </c>
      <c r="AN367" s="6" t="s">
        <v>443</v>
      </c>
      <c r="AO367" s="6" t="s">
        <v>443</v>
      </c>
      <c r="AP367" s="6" t="s">
        <v>443</v>
      </c>
      <c r="AQ367" s="6" t="s">
        <v>443</v>
      </c>
      <c r="AR367" s="6" t="s">
        <v>1370</v>
      </c>
      <c r="AS367" t="s">
        <v>1327</v>
      </c>
      <c r="AT367" t="s">
        <v>949</v>
      </c>
    </row>
    <row r="368" spans="1:46" x14ac:dyDescent="0.35">
      <c r="A368" t="s">
        <v>400</v>
      </c>
      <c r="B368" t="s">
        <v>397</v>
      </c>
      <c r="C368" t="s">
        <v>1035</v>
      </c>
      <c r="D368" s="2" t="s">
        <v>595</v>
      </c>
      <c r="E368" s="2" t="s">
        <v>385</v>
      </c>
      <c r="F368" s="2" t="s">
        <v>716</v>
      </c>
      <c r="G368" s="3">
        <v>17540</v>
      </c>
      <c r="H368" s="3">
        <v>277.2</v>
      </c>
      <c r="I368" s="3">
        <v>5</v>
      </c>
      <c r="J368" s="3">
        <v>15.1</v>
      </c>
      <c r="K368" s="3">
        <v>817</v>
      </c>
      <c r="L368" s="3">
        <v>2664</v>
      </c>
      <c r="M368" s="3">
        <v>20400</v>
      </c>
      <c r="N368" s="3">
        <v>6571</v>
      </c>
      <c r="O368" s="5">
        <v>98.9</v>
      </c>
      <c r="P368" s="5">
        <v>0.9</v>
      </c>
      <c r="Q368" s="5">
        <v>0</v>
      </c>
      <c r="R368" s="5">
        <v>0.2</v>
      </c>
      <c r="S368" s="5">
        <v>3.6</v>
      </c>
      <c r="T368" s="5">
        <v>8.8000000000000007</v>
      </c>
      <c r="U368" s="5">
        <v>52.9</v>
      </c>
      <c r="V368" s="5">
        <v>34.700000000000003</v>
      </c>
      <c r="W368" s="5">
        <f t="shared" si="14"/>
        <v>87.6</v>
      </c>
      <c r="X368" s="3">
        <v>9.9516873296158792</v>
      </c>
      <c r="Y368" t="s">
        <v>1327</v>
      </c>
      <c r="Z368" s="4">
        <v>42507</v>
      </c>
      <c r="AA368" t="s">
        <v>1362</v>
      </c>
      <c r="AB368" t="s">
        <v>398</v>
      </c>
      <c r="AC368" t="s">
        <v>1327</v>
      </c>
      <c r="AD368" t="s">
        <v>887</v>
      </c>
      <c r="AE368" t="s">
        <v>1364</v>
      </c>
      <c r="AF368" t="s">
        <v>1376</v>
      </c>
      <c r="AG368" s="6" t="s">
        <v>443</v>
      </c>
      <c r="AH368" s="2">
        <v>0.05</v>
      </c>
      <c r="AI368" s="5">
        <v>44.2</v>
      </c>
      <c r="AJ368" s="6" t="s">
        <v>443</v>
      </c>
      <c r="AK368" s="5">
        <v>48.3</v>
      </c>
      <c r="AL368" s="5">
        <v>10.1</v>
      </c>
      <c r="AM368" s="6" t="s">
        <v>443</v>
      </c>
      <c r="AN368" s="6" t="s">
        <v>443</v>
      </c>
      <c r="AO368" s="6" t="s">
        <v>443</v>
      </c>
      <c r="AP368" s="6" t="s">
        <v>443</v>
      </c>
      <c r="AQ368" s="6" t="s">
        <v>443</v>
      </c>
      <c r="AR368" s="6" t="s">
        <v>1370</v>
      </c>
      <c r="AS368" t="s">
        <v>1327</v>
      </c>
      <c r="AT368" t="s">
        <v>949</v>
      </c>
    </row>
    <row r="369" spans="1:46" x14ac:dyDescent="0.35">
      <c r="A369" t="s">
        <v>406</v>
      </c>
      <c r="B369" t="s">
        <v>403</v>
      </c>
      <c r="C369" t="s">
        <v>1035</v>
      </c>
      <c r="D369" s="2" t="s">
        <v>595</v>
      </c>
      <c r="E369" s="2" t="s">
        <v>385</v>
      </c>
      <c r="F369" s="2" t="s">
        <v>716</v>
      </c>
      <c r="G369" s="3">
        <v>7967</v>
      </c>
      <c r="H369" s="3">
        <v>58</v>
      </c>
      <c r="I369" s="3">
        <v>4.5</v>
      </c>
      <c r="J369" s="3">
        <v>6.4</v>
      </c>
      <c r="K369" s="3">
        <v>302</v>
      </c>
      <c r="L369" s="3">
        <v>46</v>
      </c>
      <c r="M369" s="3">
        <v>11883</v>
      </c>
      <c r="N369" s="3">
        <v>3558</v>
      </c>
      <c r="O369" s="5">
        <v>99.4</v>
      </c>
      <c r="P369" s="5">
        <v>0.4</v>
      </c>
      <c r="Q369" s="5">
        <v>0.1</v>
      </c>
      <c r="R369" s="5">
        <v>0.2</v>
      </c>
      <c r="S369" s="5">
        <v>2.6</v>
      </c>
      <c r="T369" s="5">
        <v>0.3</v>
      </c>
      <c r="U369" s="5">
        <v>60.3</v>
      </c>
      <c r="V369" s="5">
        <v>36.700000000000003</v>
      </c>
      <c r="W369" s="5">
        <f t="shared" si="14"/>
        <v>97</v>
      </c>
      <c r="X369" s="3">
        <v>3.8655034852223586</v>
      </c>
      <c r="Y369" t="s">
        <v>1327</v>
      </c>
      <c r="Z369" s="4">
        <v>42507</v>
      </c>
      <c r="AA369" t="s">
        <v>1362</v>
      </c>
      <c r="AB369" t="s">
        <v>404</v>
      </c>
      <c r="AC369" t="s">
        <v>1327</v>
      </c>
      <c r="AD369" t="s">
        <v>891</v>
      </c>
      <c r="AE369" t="s">
        <v>1364</v>
      </c>
      <c r="AF369" t="s">
        <v>1376</v>
      </c>
      <c r="AG369" s="6" t="s">
        <v>443</v>
      </c>
      <c r="AH369" s="2">
        <v>0.05</v>
      </c>
      <c r="AI369" s="5">
        <v>22.9</v>
      </c>
      <c r="AJ369" s="6" t="s">
        <v>443</v>
      </c>
      <c r="AK369" s="5">
        <v>23.8</v>
      </c>
      <c r="AL369" s="5">
        <v>10.1</v>
      </c>
      <c r="AM369" s="6" t="s">
        <v>443</v>
      </c>
      <c r="AN369" s="6" t="s">
        <v>443</v>
      </c>
      <c r="AO369" s="6" t="s">
        <v>443</v>
      </c>
      <c r="AP369" s="6" t="s">
        <v>443</v>
      </c>
      <c r="AQ369" s="6" t="s">
        <v>443</v>
      </c>
      <c r="AR369" s="6" t="s">
        <v>1370</v>
      </c>
      <c r="AS369" t="s">
        <v>1327</v>
      </c>
      <c r="AT369" t="s">
        <v>949</v>
      </c>
    </row>
    <row r="370" spans="1:46" x14ac:dyDescent="0.35">
      <c r="A370" t="s">
        <v>389</v>
      </c>
      <c r="B370" t="s">
        <v>386</v>
      </c>
      <c r="C370" t="s">
        <v>1035</v>
      </c>
      <c r="D370" s="2" t="s">
        <v>595</v>
      </c>
      <c r="E370" s="2" t="s">
        <v>385</v>
      </c>
      <c r="F370" s="2" t="s">
        <v>716</v>
      </c>
      <c r="G370" s="3">
        <v>6576</v>
      </c>
      <c r="H370" s="3">
        <v>86.4</v>
      </c>
      <c r="I370" s="3">
        <v>4.0999999999999996</v>
      </c>
      <c r="J370" s="3">
        <v>38</v>
      </c>
      <c r="K370" s="3">
        <v>110</v>
      </c>
      <c r="L370" s="3">
        <v>25</v>
      </c>
      <c r="M370" s="3">
        <v>3113</v>
      </c>
      <c r="N370" s="3">
        <v>6703</v>
      </c>
      <c r="O370" s="5">
        <v>98.1</v>
      </c>
      <c r="P370" s="5">
        <v>0.8</v>
      </c>
      <c r="Q370" s="5">
        <v>0.1</v>
      </c>
      <c r="R370" s="5">
        <v>1.1000000000000001</v>
      </c>
      <c r="S370" s="5">
        <v>1.1000000000000001</v>
      </c>
      <c r="T370" s="5">
        <v>0.2</v>
      </c>
      <c r="U370" s="5">
        <v>18.3</v>
      </c>
      <c r="V370" s="5">
        <v>80.400000000000006</v>
      </c>
      <c r="W370" s="5">
        <f t="shared" si="14"/>
        <v>98.7</v>
      </c>
      <c r="X370" s="3">
        <v>2.3709952530079281</v>
      </c>
      <c r="Y370" t="s">
        <v>1327</v>
      </c>
      <c r="Z370" s="4">
        <v>42871</v>
      </c>
      <c r="AA370" t="s">
        <v>1362</v>
      </c>
      <c r="AB370" t="s">
        <v>387</v>
      </c>
      <c r="AC370" t="s">
        <v>1327</v>
      </c>
      <c r="AD370" t="s">
        <v>880</v>
      </c>
      <c r="AE370" t="s">
        <v>1364</v>
      </c>
      <c r="AF370" t="s">
        <v>1376</v>
      </c>
      <c r="AG370" s="6" t="s">
        <v>443</v>
      </c>
      <c r="AH370" s="2">
        <v>0.05</v>
      </c>
      <c r="AI370" s="5">
        <v>19.8</v>
      </c>
      <c r="AJ370" s="6" t="s">
        <v>443</v>
      </c>
      <c r="AK370" s="5">
        <v>16.7</v>
      </c>
      <c r="AL370" s="5">
        <v>10.4</v>
      </c>
      <c r="AM370" s="6" t="s">
        <v>443</v>
      </c>
      <c r="AN370" s="6" t="s">
        <v>443</v>
      </c>
      <c r="AO370" s="6" t="s">
        <v>443</v>
      </c>
      <c r="AP370" s="6" t="s">
        <v>443</v>
      </c>
      <c r="AQ370" s="6" t="s">
        <v>443</v>
      </c>
      <c r="AR370" s="6" t="s">
        <v>1370</v>
      </c>
      <c r="AS370" t="s">
        <v>1327</v>
      </c>
      <c r="AT370" t="s">
        <v>951</v>
      </c>
    </row>
    <row r="371" spans="1:46" x14ac:dyDescent="0.35">
      <c r="A371" t="s">
        <v>395</v>
      </c>
      <c r="B371" t="s">
        <v>391</v>
      </c>
      <c r="C371" t="s">
        <v>1035</v>
      </c>
      <c r="D371" s="2" t="s">
        <v>595</v>
      </c>
      <c r="E371" s="2" t="s">
        <v>385</v>
      </c>
      <c r="F371" s="2" t="s">
        <v>716</v>
      </c>
      <c r="G371" s="3">
        <v>5053</v>
      </c>
      <c r="H371" s="3">
        <v>167</v>
      </c>
      <c r="I371" s="3">
        <v>5</v>
      </c>
      <c r="J371" s="3">
        <v>29.3</v>
      </c>
      <c r="K371" s="3">
        <v>572</v>
      </c>
      <c r="L371" s="3">
        <v>674</v>
      </c>
      <c r="M371" s="3">
        <v>2072</v>
      </c>
      <c r="N371" s="3">
        <v>5238</v>
      </c>
      <c r="O371" s="5">
        <v>96.9</v>
      </c>
      <c r="P371" s="5">
        <v>1.9</v>
      </c>
      <c r="Q371" s="5">
        <v>0.1</v>
      </c>
      <c r="R371" s="5">
        <v>1.1000000000000001</v>
      </c>
      <c r="S371" s="5">
        <v>6.8</v>
      </c>
      <c r="T371" s="5">
        <v>5.9</v>
      </c>
      <c r="U371" s="5">
        <v>14.2</v>
      </c>
      <c r="V371" s="5">
        <v>73.099999999999994</v>
      </c>
      <c r="W371" s="5">
        <f t="shared" si="14"/>
        <v>87.3</v>
      </c>
      <c r="X371" s="3">
        <v>-2.578386512827715</v>
      </c>
      <c r="Y371" t="s">
        <v>1327</v>
      </c>
      <c r="Z371" s="4">
        <v>42871</v>
      </c>
      <c r="AA371" t="s">
        <v>1362</v>
      </c>
      <c r="AB371" t="s">
        <v>392</v>
      </c>
      <c r="AC371" t="s">
        <v>1327</v>
      </c>
      <c r="AD371" t="s">
        <v>884</v>
      </c>
      <c r="AE371" t="s">
        <v>1364</v>
      </c>
      <c r="AF371" t="s">
        <v>1376</v>
      </c>
      <c r="AG371" s="6" t="s">
        <v>443</v>
      </c>
      <c r="AH371" s="2">
        <v>0.05</v>
      </c>
      <c r="AI371" s="5">
        <v>16.399999999999999</v>
      </c>
      <c r="AJ371" s="6" t="s">
        <v>443</v>
      </c>
      <c r="AK371" s="5">
        <v>13.8</v>
      </c>
      <c r="AL371" s="5">
        <v>10.7</v>
      </c>
      <c r="AM371" s="6" t="s">
        <v>443</v>
      </c>
      <c r="AN371" s="6" t="s">
        <v>443</v>
      </c>
      <c r="AO371" s="6" t="s">
        <v>443</v>
      </c>
      <c r="AP371" s="6" t="s">
        <v>443</v>
      </c>
      <c r="AQ371" s="6" t="s">
        <v>443</v>
      </c>
      <c r="AR371" s="6" t="s">
        <v>1370</v>
      </c>
      <c r="AS371" t="s">
        <v>1327</v>
      </c>
      <c r="AT371" t="s">
        <v>951</v>
      </c>
    </row>
    <row r="372" spans="1:46" x14ac:dyDescent="0.35">
      <c r="A372" t="s">
        <v>401</v>
      </c>
      <c r="B372" t="s">
        <v>397</v>
      </c>
      <c r="C372" t="s">
        <v>1035</v>
      </c>
      <c r="D372" s="2" t="s">
        <v>595</v>
      </c>
      <c r="E372" s="2" t="s">
        <v>385</v>
      </c>
      <c r="F372" s="2" t="s">
        <v>716</v>
      </c>
      <c r="G372" s="3">
        <v>19734</v>
      </c>
      <c r="H372" s="3">
        <v>268.89999999999998</v>
      </c>
      <c r="I372" s="3">
        <v>8.5</v>
      </c>
      <c r="J372" s="3">
        <v>25.3</v>
      </c>
      <c r="K372" s="3">
        <v>809</v>
      </c>
      <c r="L372" s="3">
        <v>3009</v>
      </c>
      <c r="M372" s="3">
        <v>5075</v>
      </c>
      <c r="N372" s="3">
        <v>16448</v>
      </c>
      <c r="O372" s="5">
        <v>98.9</v>
      </c>
      <c r="P372" s="5">
        <v>0.8</v>
      </c>
      <c r="Q372" s="5">
        <v>0</v>
      </c>
      <c r="R372" s="5">
        <v>0.2</v>
      </c>
      <c r="S372" s="5">
        <v>3.2</v>
      </c>
      <c r="T372" s="5">
        <v>8.6999999999999993</v>
      </c>
      <c r="U372" s="5">
        <v>11.6</v>
      </c>
      <c r="V372" s="5">
        <v>76.5</v>
      </c>
      <c r="W372" s="5">
        <f t="shared" si="14"/>
        <v>88.1</v>
      </c>
      <c r="X372" s="3">
        <v>9.5194772490046766</v>
      </c>
      <c r="Y372" t="s">
        <v>1327</v>
      </c>
      <c r="Z372" s="4">
        <v>42871</v>
      </c>
      <c r="AA372" t="s">
        <v>1362</v>
      </c>
      <c r="AB372" t="s">
        <v>398</v>
      </c>
      <c r="AC372" t="s">
        <v>1327</v>
      </c>
      <c r="AD372" t="s">
        <v>888</v>
      </c>
      <c r="AE372" t="s">
        <v>1364</v>
      </c>
      <c r="AF372" t="s">
        <v>1376</v>
      </c>
      <c r="AG372" s="6" t="s">
        <v>443</v>
      </c>
      <c r="AH372" s="2">
        <v>0.05</v>
      </c>
      <c r="AI372" s="5">
        <v>46.5</v>
      </c>
      <c r="AJ372" s="6" t="s">
        <v>443</v>
      </c>
      <c r="AK372" s="5">
        <v>45.4</v>
      </c>
      <c r="AL372" s="5">
        <v>10.3</v>
      </c>
      <c r="AM372" s="6" t="s">
        <v>443</v>
      </c>
      <c r="AN372" s="6" t="s">
        <v>443</v>
      </c>
      <c r="AO372" s="6" t="s">
        <v>443</v>
      </c>
      <c r="AP372" s="6" t="s">
        <v>443</v>
      </c>
      <c r="AQ372" s="6" t="s">
        <v>443</v>
      </c>
      <c r="AR372" s="6" t="s">
        <v>1370</v>
      </c>
      <c r="AS372" t="s">
        <v>1327</v>
      </c>
      <c r="AT372" t="s">
        <v>951</v>
      </c>
    </row>
    <row r="373" spans="1:46" x14ac:dyDescent="0.35">
      <c r="A373" t="s">
        <v>407</v>
      </c>
      <c r="B373" t="s">
        <v>403</v>
      </c>
      <c r="C373" t="s">
        <v>1035</v>
      </c>
      <c r="D373" s="2" t="s">
        <v>595</v>
      </c>
      <c r="E373" s="2" t="s">
        <v>385</v>
      </c>
      <c r="F373" s="2" t="s">
        <v>716</v>
      </c>
      <c r="G373" s="3">
        <v>6575</v>
      </c>
      <c r="H373" s="3">
        <v>88.2</v>
      </c>
      <c r="I373" s="3">
        <v>3.8</v>
      </c>
      <c r="J373" s="3">
        <v>38.1</v>
      </c>
      <c r="K373" s="3">
        <v>110</v>
      </c>
      <c r="L373" s="3">
        <v>20.2</v>
      </c>
      <c r="M373" s="3">
        <v>3100</v>
      </c>
      <c r="N373" s="3">
        <v>6727</v>
      </c>
      <c r="O373" s="5">
        <v>98.1</v>
      </c>
      <c r="P373" s="5">
        <v>0.8</v>
      </c>
      <c r="Q373" s="5">
        <v>0.1</v>
      </c>
      <c r="R373" s="5">
        <v>1.1000000000000001</v>
      </c>
      <c r="S373" s="5">
        <v>1.1000000000000001</v>
      </c>
      <c r="T373" s="5">
        <v>0.2</v>
      </c>
      <c r="U373" s="5">
        <v>18.2</v>
      </c>
      <c r="V373" s="5">
        <v>80.5</v>
      </c>
      <c r="W373" s="5">
        <f t="shared" si="14"/>
        <v>98.7</v>
      </c>
      <c r="X373" s="3">
        <v>2.2828290963408873</v>
      </c>
      <c r="Y373" t="s">
        <v>1327</v>
      </c>
      <c r="Z373" s="4">
        <v>42871</v>
      </c>
      <c r="AA373" t="s">
        <v>1362</v>
      </c>
      <c r="AB373" t="s">
        <v>404</v>
      </c>
      <c r="AC373" t="s">
        <v>1327</v>
      </c>
      <c r="AD373" t="s">
        <v>892</v>
      </c>
      <c r="AE373" t="s">
        <v>1364</v>
      </c>
      <c r="AF373" t="s">
        <v>1376</v>
      </c>
      <c r="AG373" s="6" t="s">
        <v>443</v>
      </c>
      <c r="AH373" s="2">
        <v>0.05</v>
      </c>
      <c r="AI373" s="5">
        <v>19.3</v>
      </c>
      <c r="AJ373" s="6" t="s">
        <v>443</v>
      </c>
      <c r="AK373" s="5">
        <v>16.7</v>
      </c>
      <c r="AL373" s="5">
        <v>10.4</v>
      </c>
      <c r="AM373" s="6" t="s">
        <v>443</v>
      </c>
      <c r="AN373" s="6" t="s">
        <v>443</v>
      </c>
      <c r="AO373" s="6" t="s">
        <v>443</v>
      </c>
      <c r="AP373" s="6" t="s">
        <v>443</v>
      </c>
      <c r="AQ373" s="6" t="s">
        <v>443</v>
      </c>
      <c r="AR373" s="6" t="s">
        <v>1370</v>
      </c>
      <c r="AS373" t="s">
        <v>1327</v>
      </c>
      <c r="AT373" t="s">
        <v>951</v>
      </c>
    </row>
    <row r="374" spans="1:46" x14ac:dyDescent="0.35">
      <c r="A374" t="s">
        <v>411</v>
      </c>
      <c r="B374" t="s">
        <v>409</v>
      </c>
      <c r="C374" t="s">
        <v>1035</v>
      </c>
      <c r="D374" s="2" t="s">
        <v>595</v>
      </c>
      <c r="E374" s="2" t="s">
        <v>1309</v>
      </c>
      <c r="F374" s="2" t="s">
        <v>716</v>
      </c>
      <c r="G374" s="3">
        <v>27300</v>
      </c>
      <c r="H374" s="3">
        <v>1460</v>
      </c>
      <c r="I374" s="3">
        <v>4</v>
      </c>
      <c r="J374" s="3">
        <v>37</v>
      </c>
      <c r="K374" s="3">
        <v>17300</v>
      </c>
      <c r="L374" s="3">
        <v>9880</v>
      </c>
      <c r="M374" s="3">
        <v>30400</v>
      </c>
      <c r="N374" s="3" t="s">
        <v>443</v>
      </c>
      <c r="O374" s="5">
        <v>96.695186452070303</v>
      </c>
      <c r="P374" s="5">
        <v>3.0405859038422398</v>
      </c>
      <c r="Q374" s="5">
        <v>1.6253371180957502E-2</v>
      </c>
      <c r="R374" s="5">
        <v>0.247974272906509</v>
      </c>
      <c r="S374" s="5">
        <v>40.9435197521181</v>
      </c>
      <c r="T374" s="5">
        <v>17.258365760200899</v>
      </c>
      <c r="U374" s="5">
        <v>41.798114487681097</v>
      </c>
      <c r="V374" s="5" t="s">
        <v>443</v>
      </c>
      <c r="W374" s="5">
        <v>41.798114487681097</v>
      </c>
      <c r="X374" s="2">
        <v>1</v>
      </c>
      <c r="Y374" t="s">
        <v>683</v>
      </c>
      <c r="Z374" s="4">
        <v>42878</v>
      </c>
      <c r="AA374" t="s">
        <v>1363</v>
      </c>
      <c r="AB374" t="s">
        <v>412</v>
      </c>
      <c r="AC374" t="s">
        <v>1329</v>
      </c>
      <c r="AD374" t="s">
        <v>894</v>
      </c>
      <c r="AE374" t="s">
        <v>1364</v>
      </c>
      <c r="AF374" t="s">
        <v>1378</v>
      </c>
      <c r="AG374" s="6">
        <v>41</v>
      </c>
      <c r="AH374" s="2">
        <v>0.01</v>
      </c>
      <c r="AI374" s="6" t="s">
        <v>443</v>
      </c>
      <c r="AJ374" s="6" t="s">
        <v>443</v>
      </c>
      <c r="AK374" s="5">
        <v>85</v>
      </c>
      <c r="AL374" s="5">
        <v>9.8000000000000007</v>
      </c>
      <c r="AM374" s="6" t="s">
        <v>443</v>
      </c>
      <c r="AN374" s="6" t="s">
        <v>443</v>
      </c>
      <c r="AO374" s="6" t="s">
        <v>443</v>
      </c>
      <c r="AP374" s="6" t="s">
        <v>443</v>
      </c>
      <c r="AQ374" s="6" t="s">
        <v>443</v>
      </c>
      <c r="AR374" s="6" t="s">
        <v>1370</v>
      </c>
      <c r="AS374" t="s">
        <v>1329</v>
      </c>
    </row>
    <row r="375" spans="1:46" x14ac:dyDescent="0.35">
      <c r="A375" t="s">
        <v>413</v>
      </c>
      <c r="B375" t="s">
        <v>409</v>
      </c>
      <c r="C375" t="s">
        <v>1035</v>
      </c>
      <c r="D375" s="2" t="s">
        <v>595</v>
      </c>
      <c r="E375" s="2" t="s">
        <v>1309</v>
      </c>
      <c r="F375" s="2" t="s">
        <v>716</v>
      </c>
      <c r="G375" s="3">
        <v>27300</v>
      </c>
      <c r="H375" s="3">
        <v>1460</v>
      </c>
      <c r="I375" s="3">
        <v>4</v>
      </c>
      <c r="J375" s="3">
        <v>37</v>
      </c>
      <c r="K375" s="3">
        <v>17300</v>
      </c>
      <c r="L375" s="3">
        <v>9880</v>
      </c>
      <c r="M375" s="3">
        <v>30400</v>
      </c>
      <c r="N375" s="3" t="s">
        <v>443</v>
      </c>
      <c r="O375" s="5">
        <v>96.695186452070303</v>
      </c>
      <c r="P375" s="5">
        <v>3.0405859038422398</v>
      </c>
      <c r="Q375" s="5">
        <v>1.6253371180957502E-2</v>
      </c>
      <c r="R375" s="5">
        <v>0.247974272906509</v>
      </c>
      <c r="S375" s="5">
        <v>40.9435197521181</v>
      </c>
      <c r="T375" s="5">
        <v>17.258365760200899</v>
      </c>
      <c r="U375" s="5">
        <v>41.798114487681097</v>
      </c>
      <c r="V375" s="5" t="s">
        <v>443</v>
      </c>
      <c r="W375" s="5">
        <v>41.798114487681097</v>
      </c>
      <c r="X375" s="2">
        <v>1</v>
      </c>
      <c r="Y375" t="s">
        <v>683</v>
      </c>
      <c r="Z375" s="4">
        <v>42878</v>
      </c>
      <c r="AA375" t="s">
        <v>1363</v>
      </c>
      <c r="AB375" t="s">
        <v>412</v>
      </c>
      <c r="AC375" t="s">
        <v>1329</v>
      </c>
      <c r="AD375" t="s">
        <v>895</v>
      </c>
      <c r="AE375" t="s">
        <v>1364</v>
      </c>
      <c r="AF375" t="s">
        <v>1378</v>
      </c>
      <c r="AG375" s="6">
        <v>41</v>
      </c>
      <c r="AH375" s="2">
        <v>10</v>
      </c>
      <c r="AI375" s="6" t="s">
        <v>443</v>
      </c>
      <c r="AJ375" s="6" t="s">
        <v>443</v>
      </c>
      <c r="AK375" s="5">
        <v>85</v>
      </c>
      <c r="AL375" s="5">
        <v>9.8000000000000007</v>
      </c>
      <c r="AM375" s="6" t="s">
        <v>443</v>
      </c>
      <c r="AN375" s="6" t="s">
        <v>443</v>
      </c>
      <c r="AO375" s="6" t="s">
        <v>443</v>
      </c>
      <c r="AP375" s="6" t="s">
        <v>443</v>
      </c>
      <c r="AQ375" s="6" t="s">
        <v>443</v>
      </c>
      <c r="AR375" s="6" t="s">
        <v>1370</v>
      </c>
      <c r="AS375" t="s">
        <v>1329</v>
      </c>
    </row>
    <row r="376" spans="1:46" x14ac:dyDescent="0.35">
      <c r="A376" t="s">
        <v>414</v>
      </c>
      <c r="B376" t="s">
        <v>409</v>
      </c>
      <c r="C376" t="s">
        <v>1035</v>
      </c>
      <c r="D376" s="2" t="s">
        <v>595</v>
      </c>
      <c r="E376" s="2" t="s">
        <v>1309</v>
      </c>
      <c r="F376" s="2" t="s">
        <v>716</v>
      </c>
      <c r="G376" s="3">
        <v>27300</v>
      </c>
      <c r="H376" s="3">
        <v>1460</v>
      </c>
      <c r="I376" s="3">
        <v>4</v>
      </c>
      <c r="J376" s="3">
        <v>37</v>
      </c>
      <c r="K376" s="3">
        <v>17300</v>
      </c>
      <c r="L376" s="3">
        <v>9880</v>
      </c>
      <c r="M376" s="3">
        <v>30400</v>
      </c>
      <c r="N376" s="3" t="s">
        <v>443</v>
      </c>
      <c r="O376" s="5">
        <v>96.695186452070303</v>
      </c>
      <c r="P376" s="5">
        <v>3.0405859038422398</v>
      </c>
      <c r="Q376" s="5">
        <v>1.6253371180957502E-2</v>
      </c>
      <c r="R376" s="5">
        <v>0.247974272906509</v>
      </c>
      <c r="S376" s="5">
        <v>40.9435197521181</v>
      </c>
      <c r="T376" s="5">
        <v>17.258365760200899</v>
      </c>
      <c r="U376" s="5">
        <v>41.798114487681097</v>
      </c>
      <c r="V376" s="5" t="s">
        <v>443</v>
      </c>
      <c r="W376" s="5">
        <v>41.798114487681097</v>
      </c>
      <c r="X376" s="2">
        <v>1</v>
      </c>
      <c r="Y376" t="s">
        <v>683</v>
      </c>
      <c r="Z376" s="4">
        <v>42908</v>
      </c>
      <c r="AA376" t="s">
        <v>1363</v>
      </c>
      <c r="AB376" t="s">
        <v>412</v>
      </c>
      <c r="AC376" t="s">
        <v>1329</v>
      </c>
      <c r="AD376" t="s">
        <v>896</v>
      </c>
      <c r="AE376" t="s">
        <v>1364</v>
      </c>
      <c r="AF376" t="s">
        <v>1378</v>
      </c>
      <c r="AG376" s="6">
        <v>41</v>
      </c>
      <c r="AH376" s="2">
        <v>0.01</v>
      </c>
      <c r="AI376" s="6" t="s">
        <v>443</v>
      </c>
      <c r="AJ376" s="6" t="s">
        <v>443</v>
      </c>
      <c r="AK376" s="5">
        <v>85</v>
      </c>
      <c r="AL376" s="5">
        <v>9.8000000000000007</v>
      </c>
      <c r="AM376" s="6" t="s">
        <v>443</v>
      </c>
      <c r="AN376" s="6" t="s">
        <v>443</v>
      </c>
      <c r="AO376" s="6" t="s">
        <v>443</v>
      </c>
      <c r="AP376" s="6" t="s">
        <v>443</v>
      </c>
      <c r="AQ376" s="6" t="s">
        <v>443</v>
      </c>
      <c r="AR376" s="6" t="s">
        <v>1370</v>
      </c>
      <c r="AS376" t="s">
        <v>1329</v>
      </c>
    </row>
    <row r="377" spans="1:46" x14ac:dyDescent="0.35">
      <c r="A377" t="s">
        <v>689</v>
      </c>
      <c r="B377" t="s">
        <v>409</v>
      </c>
      <c r="C377" t="s">
        <v>1035</v>
      </c>
      <c r="D377" s="2" t="s">
        <v>595</v>
      </c>
      <c r="E377" s="2" t="s">
        <v>1309</v>
      </c>
      <c r="F377" s="2" t="s">
        <v>716</v>
      </c>
      <c r="G377" s="3">
        <v>27300</v>
      </c>
      <c r="H377" s="3">
        <v>1460</v>
      </c>
      <c r="I377" s="3">
        <v>4</v>
      </c>
      <c r="J377" s="3">
        <v>37</v>
      </c>
      <c r="K377" s="3">
        <v>17300</v>
      </c>
      <c r="L377" s="3">
        <v>9880</v>
      </c>
      <c r="M377" s="3">
        <v>30400</v>
      </c>
      <c r="N377" s="3" t="s">
        <v>443</v>
      </c>
      <c r="O377" s="5">
        <v>96.695186452070303</v>
      </c>
      <c r="P377" s="5">
        <v>3.0405859038422398</v>
      </c>
      <c r="Q377" s="5">
        <v>1.6253371180957502E-2</v>
      </c>
      <c r="R377" s="5">
        <v>0.247974272906509</v>
      </c>
      <c r="S377" s="5">
        <v>40.9435197521181</v>
      </c>
      <c r="T377" s="5">
        <v>17.258365760200899</v>
      </c>
      <c r="U377" s="5">
        <v>41.798114487681097</v>
      </c>
      <c r="V377" s="5" t="s">
        <v>443</v>
      </c>
      <c r="W377" s="5">
        <v>41.798114487681097</v>
      </c>
      <c r="X377" s="2">
        <v>1</v>
      </c>
      <c r="Y377" t="s">
        <v>683</v>
      </c>
      <c r="Z377" s="4">
        <v>42997</v>
      </c>
      <c r="AA377" t="s">
        <v>1363</v>
      </c>
      <c r="AB377" t="s">
        <v>412</v>
      </c>
      <c r="AC377" t="s">
        <v>1329</v>
      </c>
      <c r="AD377" t="s">
        <v>900</v>
      </c>
      <c r="AE377" t="s">
        <v>1364</v>
      </c>
      <c r="AF377" t="s">
        <v>1378</v>
      </c>
      <c r="AG377" s="6">
        <v>41</v>
      </c>
      <c r="AH377" s="2">
        <v>0.01</v>
      </c>
      <c r="AI377" s="6" t="s">
        <v>443</v>
      </c>
      <c r="AJ377" s="6" t="s">
        <v>443</v>
      </c>
      <c r="AK377" s="5">
        <v>75</v>
      </c>
      <c r="AL377" s="5">
        <v>9.8000000000000007</v>
      </c>
      <c r="AM377" s="6" t="s">
        <v>443</v>
      </c>
      <c r="AN377" s="6" t="s">
        <v>443</v>
      </c>
      <c r="AO377" s="6" t="s">
        <v>443</v>
      </c>
      <c r="AP377" s="6" t="s">
        <v>443</v>
      </c>
      <c r="AQ377" s="6" t="s">
        <v>443</v>
      </c>
      <c r="AR377" s="6" t="s">
        <v>1370</v>
      </c>
      <c r="AS377" t="s">
        <v>1329</v>
      </c>
    </row>
    <row r="378" spans="1:46" x14ac:dyDescent="0.35">
      <c r="A378" t="s">
        <v>690</v>
      </c>
      <c r="B378" t="s">
        <v>409</v>
      </c>
      <c r="C378" t="s">
        <v>1035</v>
      </c>
      <c r="D378" s="2" t="s">
        <v>595</v>
      </c>
      <c r="E378" s="2" t="s">
        <v>1309</v>
      </c>
      <c r="F378" s="2" t="s">
        <v>716</v>
      </c>
      <c r="G378" s="3">
        <v>27300</v>
      </c>
      <c r="H378" s="3">
        <v>1460</v>
      </c>
      <c r="I378" s="3">
        <v>4</v>
      </c>
      <c r="J378" s="3">
        <v>37</v>
      </c>
      <c r="K378" s="3">
        <v>17300</v>
      </c>
      <c r="L378" s="3">
        <v>9880</v>
      </c>
      <c r="M378" s="3">
        <v>30400</v>
      </c>
      <c r="N378" s="3" t="s">
        <v>443</v>
      </c>
      <c r="O378" s="5">
        <v>96.695186452070303</v>
      </c>
      <c r="P378" s="5">
        <v>3.0405859038422398</v>
      </c>
      <c r="Q378" s="5">
        <v>1.6253371180957502E-2</v>
      </c>
      <c r="R378" s="5">
        <v>0.247974272906509</v>
      </c>
      <c r="S378" s="5">
        <v>40.9435197521181</v>
      </c>
      <c r="T378" s="5">
        <v>17.258365760200899</v>
      </c>
      <c r="U378" s="5">
        <v>41.798114487681097</v>
      </c>
      <c r="V378" s="5" t="s">
        <v>443</v>
      </c>
      <c r="W378" s="5">
        <v>41.798114487681097</v>
      </c>
      <c r="X378" s="2">
        <v>1</v>
      </c>
      <c r="Y378" t="s">
        <v>683</v>
      </c>
      <c r="Z378" s="4">
        <v>42997</v>
      </c>
      <c r="AA378" t="s">
        <v>1363</v>
      </c>
      <c r="AB378" t="s">
        <v>412</v>
      </c>
      <c r="AC378" t="s">
        <v>1329</v>
      </c>
      <c r="AD378" t="s">
        <v>903</v>
      </c>
      <c r="AE378" t="s">
        <v>1364</v>
      </c>
      <c r="AF378" t="s">
        <v>1378</v>
      </c>
      <c r="AG378" s="6">
        <v>41</v>
      </c>
      <c r="AH378" s="2">
        <v>5</v>
      </c>
      <c r="AI378" s="6" t="s">
        <v>443</v>
      </c>
      <c r="AJ378" s="6" t="s">
        <v>443</v>
      </c>
      <c r="AK378" s="5">
        <v>86</v>
      </c>
      <c r="AL378" s="5">
        <v>9.8000000000000007</v>
      </c>
      <c r="AM378" s="6" t="s">
        <v>443</v>
      </c>
      <c r="AN378" s="6" t="s">
        <v>443</v>
      </c>
      <c r="AO378" s="6" t="s">
        <v>443</v>
      </c>
      <c r="AP378" s="6" t="s">
        <v>443</v>
      </c>
      <c r="AQ378" s="6" t="s">
        <v>443</v>
      </c>
      <c r="AR378" s="6" t="s">
        <v>1370</v>
      </c>
      <c r="AS378" t="s">
        <v>1329</v>
      </c>
    </row>
    <row r="379" spans="1:46" x14ac:dyDescent="0.35">
      <c r="A379" t="s">
        <v>691</v>
      </c>
      <c r="B379" t="s">
        <v>409</v>
      </c>
      <c r="C379" t="s">
        <v>1035</v>
      </c>
      <c r="D379" s="2" t="s">
        <v>595</v>
      </c>
      <c r="E379" s="2" t="s">
        <v>1309</v>
      </c>
      <c r="F379" s="2" t="s">
        <v>716</v>
      </c>
      <c r="G379" s="3">
        <v>27300</v>
      </c>
      <c r="H379" s="3">
        <v>1460</v>
      </c>
      <c r="I379" s="3">
        <v>4</v>
      </c>
      <c r="J379" s="3">
        <v>37</v>
      </c>
      <c r="K379" s="3">
        <v>17300</v>
      </c>
      <c r="L379" s="3">
        <v>9880</v>
      </c>
      <c r="M379" s="3">
        <v>30400</v>
      </c>
      <c r="N379" s="3" t="s">
        <v>443</v>
      </c>
      <c r="O379" s="5">
        <v>96.695186452070303</v>
      </c>
      <c r="P379" s="5">
        <v>3.0405859038422398</v>
      </c>
      <c r="Q379" s="5">
        <v>1.6253371180957502E-2</v>
      </c>
      <c r="R379" s="5">
        <v>0.247974272906509</v>
      </c>
      <c r="S379" s="5">
        <v>40.9435197521181</v>
      </c>
      <c r="T379" s="5">
        <v>17.258365760200899</v>
      </c>
      <c r="U379" s="5">
        <v>41.798114487681097</v>
      </c>
      <c r="V379" s="5" t="s">
        <v>443</v>
      </c>
      <c r="W379" s="5">
        <v>41.798114487681097</v>
      </c>
      <c r="X379" s="2">
        <v>1</v>
      </c>
      <c r="Y379" t="s">
        <v>683</v>
      </c>
      <c r="Z379" s="4">
        <v>42997</v>
      </c>
      <c r="AA379" t="s">
        <v>1363</v>
      </c>
      <c r="AB379" t="s">
        <v>412</v>
      </c>
      <c r="AC379" t="s">
        <v>1329</v>
      </c>
      <c r="AD379" t="s">
        <v>904</v>
      </c>
      <c r="AE379" t="s">
        <v>1364</v>
      </c>
      <c r="AF379" t="s">
        <v>1378</v>
      </c>
      <c r="AG379" s="6">
        <v>41</v>
      </c>
      <c r="AH379" s="2">
        <v>10</v>
      </c>
      <c r="AI379" s="6" t="s">
        <v>443</v>
      </c>
      <c r="AJ379" s="6" t="s">
        <v>443</v>
      </c>
      <c r="AK379" s="5">
        <v>86</v>
      </c>
      <c r="AL379" s="5">
        <v>9.8000000000000007</v>
      </c>
      <c r="AM379" s="6" t="s">
        <v>443</v>
      </c>
      <c r="AN379" s="6" t="s">
        <v>443</v>
      </c>
      <c r="AO379" s="6" t="s">
        <v>443</v>
      </c>
      <c r="AP379" s="6" t="s">
        <v>443</v>
      </c>
      <c r="AQ379" s="6" t="s">
        <v>443</v>
      </c>
      <c r="AR379" s="6" t="s">
        <v>1370</v>
      </c>
      <c r="AS379" t="s">
        <v>1329</v>
      </c>
    </row>
    <row r="380" spans="1:46" x14ac:dyDescent="0.35">
      <c r="A380" t="s">
        <v>552</v>
      </c>
      <c r="B380" t="s">
        <v>553</v>
      </c>
      <c r="C380" t="s">
        <v>1036</v>
      </c>
      <c r="D380" s="2" t="s">
        <v>594</v>
      </c>
      <c r="E380" s="2" t="s">
        <v>688</v>
      </c>
      <c r="F380" s="2" t="s">
        <v>717</v>
      </c>
      <c r="G380" s="3">
        <v>35400</v>
      </c>
      <c r="H380" s="3" t="s">
        <v>443</v>
      </c>
      <c r="I380" s="3">
        <v>30</v>
      </c>
      <c r="J380" s="3">
        <v>440</v>
      </c>
      <c r="K380" s="3">
        <v>7130</v>
      </c>
      <c r="L380" s="3">
        <v>55900</v>
      </c>
      <c r="M380" s="3">
        <v>9760</v>
      </c>
      <c r="N380" s="3">
        <v>1500</v>
      </c>
      <c r="O380" s="5">
        <v>97.6</v>
      </c>
      <c r="P380" s="5" t="s">
        <v>443</v>
      </c>
      <c r="Q380" s="5">
        <v>0.1</v>
      </c>
      <c r="R380" s="5">
        <v>2.2999999999999998</v>
      </c>
      <c r="S380" s="5">
        <v>12.8</v>
      </c>
      <c r="T380" s="5">
        <v>73.900000000000006</v>
      </c>
      <c r="U380" s="5">
        <v>10.199999999999999</v>
      </c>
      <c r="V380" s="5">
        <v>3.2</v>
      </c>
      <c r="W380" s="5">
        <f>SUM(U380:V380)</f>
        <v>13.399999999999999</v>
      </c>
      <c r="X380" s="3" t="s">
        <v>8</v>
      </c>
      <c r="Y380" t="s">
        <v>1314</v>
      </c>
      <c r="Z380" s="4" t="s">
        <v>933</v>
      </c>
      <c r="AA380" t="s">
        <v>1357</v>
      </c>
      <c r="AB380" t="s">
        <v>596</v>
      </c>
      <c r="AC380" t="s">
        <v>1314</v>
      </c>
      <c r="AD380" t="s">
        <v>850</v>
      </c>
      <c r="AE380" t="s">
        <v>1364</v>
      </c>
      <c r="AF380" t="s">
        <v>1376</v>
      </c>
      <c r="AG380" s="6">
        <v>0.1</v>
      </c>
      <c r="AH380" s="6">
        <v>0.1</v>
      </c>
      <c r="AI380" s="5" t="s">
        <v>443</v>
      </c>
      <c r="AJ380" s="5" t="s">
        <v>443</v>
      </c>
      <c r="AK380" s="5">
        <v>110.1</v>
      </c>
      <c r="AL380" s="5">
        <v>9.6999999999999993</v>
      </c>
      <c r="AM380" s="5">
        <v>12</v>
      </c>
      <c r="AN380" s="5" t="s">
        <v>443</v>
      </c>
      <c r="AO380" s="5" t="s">
        <v>443</v>
      </c>
      <c r="AP380" s="5" t="s">
        <v>443</v>
      </c>
      <c r="AQ380" s="5" t="s">
        <v>443</v>
      </c>
      <c r="AR380" s="2" t="s">
        <v>1370</v>
      </c>
      <c r="AS380" t="s">
        <v>1314</v>
      </c>
    </row>
    <row r="381" spans="1:46" x14ac:dyDescent="0.35">
      <c r="A381" t="s">
        <v>415</v>
      </c>
      <c r="B381" t="s">
        <v>409</v>
      </c>
      <c r="C381" t="s">
        <v>1035</v>
      </c>
      <c r="D381" s="2" t="s">
        <v>595</v>
      </c>
      <c r="E381" s="2" t="s">
        <v>1309</v>
      </c>
      <c r="F381" s="2" t="s">
        <v>716</v>
      </c>
      <c r="G381" s="3">
        <v>27300</v>
      </c>
      <c r="H381" s="3">
        <v>1460</v>
      </c>
      <c r="I381" s="3">
        <v>4</v>
      </c>
      <c r="J381" s="3">
        <v>37</v>
      </c>
      <c r="K381" s="3">
        <v>17300</v>
      </c>
      <c r="L381" s="3">
        <v>9880</v>
      </c>
      <c r="M381" s="3">
        <v>30400</v>
      </c>
      <c r="N381" s="3" t="s">
        <v>443</v>
      </c>
      <c r="O381" s="5">
        <v>96.695186452070303</v>
      </c>
      <c r="P381" s="5">
        <v>3.0405859038422398</v>
      </c>
      <c r="Q381" s="5">
        <v>1.6253371180957502E-2</v>
      </c>
      <c r="R381" s="5">
        <v>0.247974272906509</v>
      </c>
      <c r="S381" s="5">
        <v>40.9435197521181</v>
      </c>
      <c r="T381" s="5">
        <v>17.258365760200899</v>
      </c>
      <c r="U381" s="5">
        <v>41.798114487681097</v>
      </c>
      <c r="V381" s="5" t="s">
        <v>443</v>
      </c>
      <c r="W381" s="5">
        <v>41.798114487681097</v>
      </c>
      <c r="X381" s="2">
        <v>1</v>
      </c>
      <c r="Y381" t="s">
        <v>683</v>
      </c>
      <c r="Z381" s="4">
        <v>43382</v>
      </c>
      <c r="AA381" t="s">
        <v>1363</v>
      </c>
      <c r="AB381" t="s">
        <v>412</v>
      </c>
      <c r="AC381" t="s">
        <v>1329</v>
      </c>
      <c r="AD381" t="s">
        <v>897</v>
      </c>
      <c r="AE381" t="s">
        <v>1364</v>
      </c>
      <c r="AF381" t="s">
        <v>1378</v>
      </c>
      <c r="AG381" s="6">
        <v>41</v>
      </c>
      <c r="AH381" s="2">
        <v>0.01</v>
      </c>
      <c r="AI381" s="6" t="s">
        <v>443</v>
      </c>
      <c r="AJ381" s="6" t="s">
        <v>443</v>
      </c>
      <c r="AK381" s="5">
        <v>80</v>
      </c>
      <c r="AL381" s="5">
        <v>9.8000000000000007</v>
      </c>
      <c r="AM381" s="6" t="s">
        <v>443</v>
      </c>
      <c r="AN381" s="6" t="s">
        <v>443</v>
      </c>
      <c r="AO381" s="6" t="s">
        <v>443</v>
      </c>
      <c r="AP381" s="6" t="s">
        <v>443</v>
      </c>
      <c r="AQ381" s="6" t="s">
        <v>443</v>
      </c>
      <c r="AR381" s="6" t="s">
        <v>1370</v>
      </c>
      <c r="AS381" t="s">
        <v>1329</v>
      </c>
    </row>
    <row r="382" spans="1:46" x14ac:dyDescent="0.35">
      <c r="A382" t="s">
        <v>416</v>
      </c>
      <c r="B382" t="s">
        <v>409</v>
      </c>
      <c r="C382" t="s">
        <v>1035</v>
      </c>
      <c r="D382" s="2" t="s">
        <v>595</v>
      </c>
      <c r="E382" s="2" t="s">
        <v>1309</v>
      </c>
      <c r="F382" s="2" t="s">
        <v>716</v>
      </c>
      <c r="G382" s="3">
        <v>27300</v>
      </c>
      <c r="H382" s="3">
        <v>1460</v>
      </c>
      <c r="I382" s="3">
        <v>4</v>
      </c>
      <c r="J382" s="3">
        <v>37</v>
      </c>
      <c r="K382" s="3">
        <v>17300</v>
      </c>
      <c r="L382" s="3">
        <v>9880</v>
      </c>
      <c r="M382" s="3">
        <v>30400</v>
      </c>
      <c r="N382" s="3" t="s">
        <v>443</v>
      </c>
      <c r="O382" s="5">
        <v>96.695186452070303</v>
      </c>
      <c r="P382" s="5">
        <v>3.0405859038422398</v>
      </c>
      <c r="Q382" s="5">
        <v>1.6253371180957502E-2</v>
      </c>
      <c r="R382" s="5">
        <v>0.247974272906509</v>
      </c>
      <c r="S382" s="5">
        <v>40.9435197521181</v>
      </c>
      <c r="T382" s="5">
        <v>17.258365760200899</v>
      </c>
      <c r="U382" s="5">
        <v>41.798114487681097</v>
      </c>
      <c r="V382" s="5" t="s">
        <v>443</v>
      </c>
      <c r="W382" s="5">
        <v>41.798114487681097</v>
      </c>
      <c r="X382" s="2">
        <v>1</v>
      </c>
      <c r="Y382" t="s">
        <v>683</v>
      </c>
      <c r="Z382" s="4">
        <v>43382</v>
      </c>
      <c r="AA382" t="s">
        <v>1363</v>
      </c>
      <c r="AB382" t="s">
        <v>412</v>
      </c>
      <c r="AC382" t="s">
        <v>1329</v>
      </c>
      <c r="AD382" t="s">
        <v>898</v>
      </c>
      <c r="AE382" t="s">
        <v>1364</v>
      </c>
      <c r="AF382" t="s">
        <v>1378</v>
      </c>
      <c r="AG382" s="6">
        <v>41</v>
      </c>
      <c r="AH382" s="2">
        <v>5</v>
      </c>
      <c r="AI382" s="6" t="s">
        <v>443</v>
      </c>
      <c r="AJ382" s="6" t="s">
        <v>443</v>
      </c>
      <c r="AK382" s="5">
        <v>80</v>
      </c>
      <c r="AL382" s="5">
        <v>9.8000000000000007</v>
      </c>
      <c r="AM382" s="6" t="s">
        <v>443</v>
      </c>
      <c r="AN382" s="6" t="s">
        <v>443</v>
      </c>
      <c r="AO382" s="6" t="s">
        <v>443</v>
      </c>
      <c r="AP382" s="6" t="s">
        <v>443</v>
      </c>
      <c r="AQ382" s="6" t="s">
        <v>443</v>
      </c>
      <c r="AR382" s="6" t="s">
        <v>1370</v>
      </c>
      <c r="AS382" t="s">
        <v>1329</v>
      </c>
    </row>
    <row r="383" spans="1:46" x14ac:dyDescent="0.35">
      <c r="A383" t="s">
        <v>417</v>
      </c>
      <c r="B383" t="s">
        <v>409</v>
      </c>
      <c r="C383" t="s">
        <v>1035</v>
      </c>
      <c r="D383" s="2" t="s">
        <v>595</v>
      </c>
      <c r="E383" s="2" t="s">
        <v>1309</v>
      </c>
      <c r="F383" s="2" t="s">
        <v>716</v>
      </c>
      <c r="G383" s="3">
        <v>27300</v>
      </c>
      <c r="H383" s="3">
        <v>1460</v>
      </c>
      <c r="I383" s="3">
        <v>4</v>
      </c>
      <c r="J383" s="3">
        <v>37</v>
      </c>
      <c r="K383" s="3">
        <v>17300</v>
      </c>
      <c r="L383" s="3">
        <v>9880</v>
      </c>
      <c r="M383" s="3">
        <v>30400</v>
      </c>
      <c r="N383" s="3" t="s">
        <v>443</v>
      </c>
      <c r="O383" s="5">
        <v>96.695186452070303</v>
      </c>
      <c r="P383" s="5">
        <v>3.0405859038422398</v>
      </c>
      <c r="Q383" s="5">
        <v>1.6253371180957502E-2</v>
      </c>
      <c r="R383" s="5">
        <v>0.247974272906509</v>
      </c>
      <c r="S383" s="5">
        <v>40.9435197521181</v>
      </c>
      <c r="T383" s="5">
        <v>17.258365760200899</v>
      </c>
      <c r="U383" s="5">
        <v>41.798114487681097</v>
      </c>
      <c r="V383" s="5" t="s">
        <v>443</v>
      </c>
      <c r="W383" s="5">
        <v>41.798114487681097</v>
      </c>
      <c r="X383" s="2">
        <v>1</v>
      </c>
      <c r="Y383" t="s">
        <v>683</v>
      </c>
      <c r="Z383" s="4">
        <v>43382</v>
      </c>
      <c r="AA383" t="s">
        <v>1363</v>
      </c>
      <c r="AB383" t="s">
        <v>412</v>
      </c>
      <c r="AC383" t="s">
        <v>1329</v>
      </c>
      <c r="AD383" t="s">
        <v>899</v>
      </c>
      <c r="AE383" t="s">
        <v>1364</v>
      </c>
      <c r="AF383" t="s">
        <v>1378</v>
      </c>
      <c r="AG383" s="6">
        <v>41</v>
      </c>
      <c r="AH383" s="2">
        <v>12</v>
      </c>
      <c r="AI383" s="6" t="s">
        <v>443</v>
      </c>
      <c r="AJ383" s="6" t="s">
        <v>443</v>
      </c>
      <c r="AK383" s="5">
        <v>80</v>
      </c>
      <c r="AL383" s="5">
        <v>9.8000000000000007</v>
      </c>
      <c r="AM383" s="6" t="s">
        <v>443</v>
      </c>
      <c r="AN383" s="6" t="s">
        <v>443</v>
      </c>
      <c r="AO383" s="6" t="s">
        <v>443</v>
      </c>
      <c r="AP383" s="6" t="s">
        <v>443</v>
      </c>
      <c r="AQ383" s="6" t="s">
        <v>443</v>
      </c>
      <c r="AR383" s="6" t="s">
        <v>1370</v>
      </c>
      <c r="AS383" t="s">
        <v>1329</v>
      </c>
    </row>
    <row r="384" spans="1:46" x14ac:dyDescent="0.35">
      <c r="X384" s="3"/>
      <c r="AJ384" s="6"/>
      <c r="AM384" s="6"/>
      <c r="AN384" s="6"/>
      <c r="AO384" s="6"/>
      <c r="AP384" s="6"/>
      <c r="AQ384" s="6"/>
      <c r="AR384" s="6"/>
    </row>
    <row r="385" spans="1:1" x14ac:dyDescent="0.35">
      <c r="A385" t="s">
        <v>618</v>
      </c>
    </row>
    <row r="386" spans="1:1" x14ac:dyDescent="0.35">
      <c r="A386" t="s">
        <v>937</v>
      </c>
    </row>
    <row r="387" spans="1:1" x14ac:dyDescent="0.35">
      <c r="A387" t="s">
        <v>1366</v>
      </c>
    </row>
  </sheetData>
  <sortState xmlns:xlrd2="http://schemas.microsoft.com/office/spreadsheetml/2017/richdata2" ref="A5:AT323">
    <sortCondition ref="Z5:Z323"/>
  </sortState>
  <phoneticPr fontId="11" type="noConversion"/>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3"/>
  <sheetViews>
    <sheetView topLeftCell="A16" workbookViewId="0">
      <selection activeCell="A20" sqref="A20"/>
    </sheetView>
  </sheetViews>
  <sheetFormatPr defaultRowHeight="14.5" x14ac:dyDescent="0.35"/>
  <sheetData>
    <row r="1" spans="1:1" x14ac:dyDescent="0.35">
      <c r="A1" s="1" t="s">
        <v>598</v>
      </c>
    </row>
    <row r="2" spans="1:1" x14ac:dyDescent="0.35">
      <c r="A2" t="s">
        <v>940</v>
      </c>
    </row>
    <row r="3" spans="1:1" x14ac:dyDescent="0.35">
      <c r="A3" t="s">
        <v>637</v>
      </c>
    </row>
    <row r="4" spans="1:1" x14ac:dyDescent="0.35">
      <c r="A4" t="s">
        <v>905</v>
      </c>
    </row>
    <row r="5" spans="1:1" x14ac:dyDescent="0.35">
      <c r="A5" t="s">
        <v>942</v>
      </c>
    </row>
    <row r="6" spans="1:1" x14ac:dyDescent="0.35">
      <c r="A6" t="s">
        <v>686</v>
      </c>
    </row>
    <row r="7" spans="1:1" x14ac:dyDescent="0.35">
      <c r="A7" t="s">
        <v>721</v>
      </c>
    </row>
    <row r="8" spans="1:1" x14ac:dyDescent="0.35">
      <c r="A8" t="s">
        <v>614</v>
      </c>
    </row>
    <row r="9" spans="1:1" x14ac:dyDescent="0.35">
      <c r="A9" t="s">
        <v>615</v>
      </c>
    </row>
    <row r="10" spans="1:1" x14ac:dyDescent="0.35">
      <c r="A10" t="s">
        <v>600</v>
      </c>
    </row>
    <row r="11" spans="1:1" x14ac:dyDescent="0.35">
      <c r="A11" t="s">
        <v>636</v>
      </c>
    </row>
    <row r="12" spans="1:1" x14ac:dyDescent="0.35">
      <c r="A12" t="s">
        <v>601</v>
      </c>
    </row>
    <row r="13" spans="1:1" x14ac:dyDescent="0.35">
      <c r="A13" t="s">
        <v>612</v>
      </c>
    </row>
    <row r="14" spans="1:1" x14ac:dyDescent="0.35">
      <c r="A14" t="s">
        <v>728</v>
      </c>
    </row>
    <row r="15" spans="1:1" x14ac:dyDescent="0.35">
      <c r="A15" t="s">
        <v>634</v>
      </c>
    </row>
    <row r="16" spans="1:1" x14ac:dyDescent="0.35">
      <c r="A16" t="s">
        <v>613</v>
      </c>
    </row>
    <row r="17" spans="1:1" x14ac:dyDescent="0.35">
      <c r="A17" t="s">
        <v>687</v>
      </c>
    </row>
    <row r="18" spans="1:1" x14ac:dyDescent="0.35">
      <c r="A18" t="s">
        <v>627</v>
      </c>
    </row>
    <row r="19" spans="1:1" x14ac:dyDescent="0.35">
      <c r="A19" t="s">
        <v>620</v>
      </c>
    </row>
    <row r="20" spans="1:1" x14ac:dyDescent="0.35">
      <c r="A20" t="s">
        <v>941</v>
      </c>
    </row>
    <row r="21" spans="1:1" x14ac:dyDescent="0.35">
      <c r="A21" t="s">
        <v>948</v>
      </c>
    </row>
    <row r="22" spans="1:1" x14ac:dyDescent="0.35">
      <c r="A22" t="s">
        <v>599</v>
      </c>
    </row>
    <row r="23" spans="1:1" x14ac:dyDescent="0.35">
      <c r="A23" t="s">
        <v>611</v>
      </c>
    </row>
    <row r="24" spans="1:1" x14ac:dyDescent="0.35">
      <c r="A24" t="s">
        <v>943</v>
      </c>
    </row>
    <row r="25" spans="1:1" x14ac:dyDescent="0.35">
      <c r="A25" t="s">
        <v>684</v>
      </c>
    </row>
    <row r="26" spans="1:1" x14ac:dyDescent="0.35">
      <c r="A26" t="s">
        <v>685</v>
      </c>
    </row>
    <row r="27" spans="1:1" x14ac:dyDescent="0.35">
      <c r="A27" t="s">
        <v>604</v>
      </c>
    </row>
    <row r="28" spans="1:1" x14ac:dyDescent="0.35">
      <c r="A28" t="s">
        <v>635</v>
      </c>
    </row>
    <row r="29" spans="1:1" x14ac:dyDescent="0.35">
      <c r="A29" t="s">
        <v>1307</v>
      </c>
    </row>
    <row r="30" spans="1:1" x14ac:dyDescent="0.35">
      <c r="A30" t="s">
        <v>624</v>
      </c>
    </row>
    <row r="31" spans="1:1" x14ac:dyDescent="0.35">
      <c r="A31" t="s">
        <v>938</v>
      </c>
    </row>
    <row r="32" spans="1:1" x14ac:dyDescent="0.35">
      <c r="A32" t="s">
        <v>939</v>
      </c>
    </row>
    <row r="33" spans="1:1" x14ac:dyDescent="0.35">
      <c r="A33" t="s">
        <v>947</v>
      </c>
    </row>
    <row r="34" spans="1:1" x14ac:dyDescent="0.35">
      <c r="A34" t="s">
        <v>681</v>
      </c>
    </row>
    <row r="35" spans="1:1" x14ac:dyDescent="0.35">
      <c r="A35" t="s">
        <v>929</v>
      </c>
    </row>
    <row r="36" spans="1:1" x14ac:dyDescent="0.35">
      <c r="A36" t="s">
        <v>629</v>
      </c>
    </row>
    <row r="37" spans="1:1" x14ac:dyDescent="0.35">
      <c r="A37" t="s">
        <v>602</v>
      </c>
    </row>
    <row r="38" spans="1:1" x14ac:dyDescent="0.35">
      <c r="A38" t="s">
        <v>628</v>
      </c>
    </row>
    <row r="39" spans="1:1" x14ac:dyDescent="0.35">
      <c r="A39" t="s">
        <v>607</v>
      </c>
    </row>
    <row r="40" spans="1:1" x14ac:dyDescent="0.35">
      <c r="A40" t="s">
        <v>632</v>
      </c>
    </row>
    <row r="41" spans="1:1" x14ac:dyDescent="0.35">
      <c r="A41" t="s">
        <v>934</v>
      </c>
    </row>
    <row r="42" spans="1:1" ht="15" customHeight="1" x14ac:dyDescent="0.35">
      <c r="A42" t="s">
        <v>603</v>
      </c>
    </row>
    <row r="43" spans="1:1" x14ac:dyDescent="0.35">
      <c r="A43" t="s">
        <v>682</v>
      </c>
    </row>
  </sheetData>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SupplementaryTable1</vt: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Attila</dc:creator>
  <cp:lastModifiedBy>Attila Szabò</cp:lastModifiedBy>
  <dcterms:created xsi:type="dcterms:W3CDTF">2022-10-31T08:31:15Z</dcterms:created>
  <dcterms:modified xsi:type="dcterms:W3CDTF">2025-08-24T17:23:55Z</dcterms:modified>
</cp:coreProperties>
</file>